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43971D49-AFD2-4A2C-85FE-EF96D0E25CF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B²B - Corajoso - 2026" sheetId="1" r:id="rId1"/>
    <sheet name="Análise" sheetId="2" r:id="rId2"/>
    <sheet name="Tratativas Corajos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2" l="1"/>
  <c r="L45" i="2"/>
  <c r="M44" i="2"/>
  <c r="L44" i="2"/>
  <c r="M43" i="2"/>
  <c r="L43" i="2"/>
  <c r="M42" i="2"/>
  <c r="L42" i="2"/>
  <c r="M41" i="2"/>
  <c r="L41" i="2"/>
  <c r="M40" i="2"/>
  <c r="M39" i="2"/>
  <c r="M38" i="2"/>
  <c r="M37" i="2"/>
  <c r="M36" i="2"/>
  <c r="M35" i="2"/>
  <c r="M34" i="2"/>
  <c r="L40" i="2"/>
  <c r="L39" i="2"/>
  <c r="L38" i="2"/>
  <c r="L37" i="2"/>
  <c r="L36" i="2"/>
  <c r="L35" i="2"/>
  <c r="L3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B35" i="2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M33" i="2"/>
  <c r="M17" i="2"/>
  <c r="M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F6" i="2"/>
  <c r="F4" i="2"/>
  <c r="F5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" i="2"/>
</calcChain>
</file>

<file path=xl/sharedStrings.xml><?xml version="1.0" encoding="utf-8"?>
<sst xmlns="http://schemas.openxmlformats.org/spreadsheetml/2006/main" count="449" uniqueCount="203">
  <si>
    <t>PARCEIRO</t>
  </si>
  <si>
    <t>COMISSÃO</t>
  </si>
  <si>
    <t>REPRESENTANTE</t>
  </si>
  <si>
    <t>FORMA DE VENDA</t>
  </si>
  <si>
    <t>SITUAÇÃO</t>
  </si>
  <si>
    <t>**</t>
  </si>
  <si>
    <t>Dona Ione</t>
  </si>
  <si>
    <t>Ione</t>
  </si>
  <si>
    <t>LIO</t>
  </si>
  <si>
    <t>Treinamento Corajoso - Time de Vendas + Cortesia da Experiência</t>
  </si>
  <si>
    <t>Treinamento Corajoso</t>
  </si>
  <si>
    <t>CVC</t>
  </si>
  <si>
    <t>Vanessa</t>
  </si>
  <si>
    <t>Portal Agência</t>
  </si>
  <si>
    <t>Tarifário até Julho de 2026 | Precisam do tarifário de 2027 inteiro</t>
  </si>
  <si>
    <t>Aguardando extensão do calendário</t>
  </si>
  <si>
    <t>TREND</t>
  </si>
  <si>
    <t>WINE BUS</t>
  </si>
  <si>
    <t>Luis</t>
  </si>
  <si>
    <t>Liberar calendário para vendas</t>
  </si>
  <si>
    <t>Verificando se foi enviado</t>
  </si>
  <si>
    <t>LAÇADOR DE OFERTAS</t>
  </si>
  <si>
    <t>Dario</t>
  </si>
  <si>
    <t>Portal Agência/Integração</t>
  </si>
  <si>
    <t>11/05 - Cadastro do Combo via integração API</t>
  </si>
  <si>
    <t>Liberação da venda do combo</t>
  </si>
  <si>
    <t>TCHÊ OFERTAS</t>
  </si>
  <si>
    <t>Silvana</t>
  </si>
  <si>
    <t>Aguardando o retorno</t>
  </si>
  <si>
    <t>ALPEN TOUR</t>
  </si>
  <si>
    <t>Carolina</t>
  </si>
  <si>
    <t>Cliente não compra</t>
  </si>
  <si>
    <t>PARKS NET</t>
  </si>
  <si>
    <t>Caio</t>
  </si>
  <si>
    <t>*</t>
  </si>
  <si>
    <t>IMOVE TURISMO</t>
  </si>
  <si>
    <t>Everton</t>
  </si>
  <si>
    <t>Não tem fluxo de vendas porque o foco é passeios | Atende uma rede de hotéis</t>
  </si>
  <si>
    <t>TURISTUR</t>
  </si>
  <si>
    <t>Samuel</t>
  </si>
  <si>
    <t>Portal Agência/LIO</t>
  </si>
  <si>
    <t>BROCKER TURISMO</t>
  </si>
  <si>
    <t>Carlise</t>
  </si>
  <si>
    <t>Carol está falando</t>
  </si>
  <si>
    <t>C2 RIO OPERADORA</t>
  </si>
  <si>
    <t>Camila</t>
  </si>
  <si>
    <t>Em processo de cadastro e atualização</t>
  </si>
  <si>
    <t>CONCIERGE GRAMADO</t>
  </si>
  <si>
    <t>Lauro</t>
  </si>
  <si>
    <t>Marcar café para ampliar as vendas</t>
  </si>
  <si>
    <t>MMC TURISMO</t>
  </si>
  <si>
    <t>Carmem</t>
  </si>
  <si>
    <t>Reunião presencial com a Carmem na próxima semana, aqui no parque. VT</t>
  </si>
  <si>
    <t>AZUL VIAGENS</t>
  </si>
  <si>
    <t>André/Braiane</t>
  </si>
  <si>
    <t>Novo parceiro</t>
  </si>
  <si>
    <t>Aguardando documentos</t>
  </si>
  <si>
    <t>Cadastro da oferta até o dia 08/05/2026</t>
  </si>
  <si>
    <t>FOCO OPERADORA</t>
  </si>
  <si>
    <t>João/Carina</t>
  </si>
  <si>
    <t>Assinatura de contrato</t>
  </si>
  <si>
    <t>Cobrança diária</t>
  </si>
  <si>
    <t>CATIVA OPERADORA</t>
  </si>
  <si>
    <t>Celso/Karina</t>
  </si>
  <si>
    <t>FRT OPERADORA</t>
  </si>
  <si>
    <t>Luciana</t>
  </si>
  <si>
    <t xml:space="preserve">Cadastro de produto </t>
  </si>
  <si>
    <t>MAIO DE 2026</t>
  </si>
  <si>
    <t>PROJEÇÃO</t>
  </si>
  <si>
    <t>IMPACTO</t>
  </si>
  <si>
    <t>REALIZADO</t>
  </si>
  <si>
    <t>DADOS</t>
  </si>
  <si>
    <t>DIA</t>
  </si>
  <si>
    <t>SEMANA</t>
  </si>
  <si>
    <t>PAX</t>
  </si>
  <si>
    <t>CORAJOSO</t>
  </si>
  <si>
    <t>CONVERSÃO</t>
  </si>
  <si>
    <t>TEMPO</t>
  </si>
  <si>
    <t>EXTRA</t>
  </si>
  <si>
    <t>PAX RECEBIDO</t>
  </si>
  <si>
    <t>CORAJOSO VENDIDO</t>
  </si>
  <si>
    <t>CORAJOSO BILHET.</t>
  </si>
  <si>
    <t>PAX RECEBIDO %</t>
  </si>
  <si>
    <t>CORAJOSO VENDIDO %</t>
  </si>
  <si>
    <t>BILHETERIA VENDIDO %</t>
  </si>
  <si>
    <t>FLUTUA - OCUPAÇÃO</t>
  </si>
  <si>
    <t>OBSERVAÇÃO EXTRA</t>
  </si>
  <si>
    <t>01/mai</t>
  </si>
  <si>
    <t>sex</t>
  </si>
  <si>
    <t>Não</t>
  </si>
  <si>
    <t>89,40%</t>
  </si>
  <si>
    <t>02/mai</t>
  </si>
  <si>
    <t>sáb</t>
  </si>
  <si>
    <t>Chuva</t>
  </si>
  <si>
    <t>88,80%</t>
  </si>
  <si>
    <t>03/mai</t>
  </si>
  <si>
    <t>dom</t>
  </si>
  <si>
    <t>Sim</t>
  </si>
  <si>
    <t>44,70%</t>
  </si>
  <si>
    <t>Extra com foco na venda do Corajoso</t>
  </si>
  <si>
    <t>04/mai</t>
  </si>
  <si>
    <t>seg</t>
  </si>
  <si>
    <t>40,90%</t>
  </si>
  <si>
    <t>05/mai</t>
  </si>
  <si>
    <t>ter</t>
  </si>
  <si>
    <t>06/mai</t>
  </si>
  <si>
    <t>qua</t>
  </si>
  <si>
    <t>49,90%</t>
  </si>
  <si>
    <t>07/mai</t>
  </si>
  <si>
    <t>qui</t>
  </si>
  <si>
    <t>64,00%</t>
  </si>
  <si>
    <t>Parque fechado às 15h devido ao vento</t>
  </si>
  <si>
    <t>08/mai</t>
  </si>
  <si>
    <t>69,10%</t>
  </si>
  <si>
    <t>09/mai</t>
  </si>
  <si>
    <t>65,20%</t>
  </si>
  <si>
    <t>10/mai</t>
  </si>
  <si>
    <t>71,50%</t>
  </si>
  <si>
    <t>11/mai</t>
  </si>
  <si>
    <t>51,10%</t>
  </si>
  <si>
    <t>12/mai</t>
  </si>
  <si>
    <t>48,20%</t>
  </si>
  <si>
    <t>13/mai</t>
  </si>
  <si>
    <t>46,50%</t>
  </si>
  <si>
    <t>14/mai</t>
  </si>
  <si>
    <t>Sol</t>
  </si>
  <si>
    <t>48,40%</t>
  </si>
  <si>
    <t>15/mai</t>
  </si>
  <si>
    <t>57,80%</t>
  </si>
  <si>
    <t>16/mai</t>
  </si>
  <si>
    <t>87,20%</t>
  </si>
  <si>
    <t>17/mai</t>
  </si>
  <si>
    <t>58,60%</t>
  </si>
  <si>
    <t>18/mai</t>
  </si>
  <si>
    <t>54,60%</t>
  </si>
  <si>
    <t>19/mai</t>
  </si>
  <si>
    <t>20/mai</t>
  </si>
  <si>
    <t>21/mai</t>
  </si>
  <si>
    <t>22/mai</t>
  </si>
  <si>
    <t>23/mai</t>
  </si>
  <si>
    <t>24/mai</t>
  </si>
  <si>
    <t>25/mai</t>
  </si>
  <si>
    <t>26/mai</t>
  </si>
  <si>
    <t>Nublado</t>
  </si>
  <si>
    <t>Parque fechado às 15h devido a chuva</t>
  </si>
  <si>
    <t>27/mai</t>
  </si>
  <si>
    <t>28/mai</t>
  </si>
  <si>
    <t>29/mai</t>
  </si>
  <si>
    <t>30/mai</t>
  </si>
  <si>
    <t>31/mai</t>
  </si>
  <si>
    <t>não</t>
  </si>
  <si>
    <t>Corajoso fechado - obra na Passarela de Vidro</t>
  </si>
  <si>
    <t>TRATATIVAS SOBRE O CORAJOSO</t>
  </si>
  <si>
    <t>SOLICITAÇÃO</t>
  </si>
  <si>
    <t xml:space="preserve">DEPARTAMENTO </t>
  </si>
  <si>
    <t>ÚLTIMA ATUALIZAÇÃO</t>
  </si>
  <si>
    <t>Estudo de Remuneração dos Colaboradores</t>
  </si>
  <si>
    <t>Fernando: Planejamento, Deise: Gente &amp; Gestão</t>
  </si>
  <si>
    <t>Aguardando o estudo</t>
  </si>
  <si>
    <t>30/04/2026</t>
  </si>
  <si>
    <t>Liberação Bilhete Gaúcho na Bilheteria</t>
  </si>
  <si>
    <t>Ana Sayão e Fernando - Planejamento, Carol: Comercial</t>
  </si>
  <si>
    <t>Aprovado para fazer um mês de teste (12/05 a 12/06/26)</t>
  </si>
  <si>
    <t>Destaque do Corajoso no Site do Parque</t>
  </si>
  <si>
    <t>Patrícia: Canais e Eduarda Borin: MKT</t>
  </si>
  <si>
    <t>Atualizado o site com a inclusão do Corajoso</t>
  </si>
  <si>
    <t>Ok</t>
  </si>
  <si>
    <t>Inclusão do Corajoso nas Atrações do Parque</t>
  </si>
  <si>
    <t xml:space="preserve">Paridade de Comissionamento </t>
  </si>
  <si>
    <t>Lorrane: Canais, Ana Sayão e Fernando: Planejamento</t>
  </si>
  <si>
    <t>Não aprovado</t>
  </si>
  <si>
    <t>Extensão de calendário aos parceiros comerciais</t>
  </si>
  <si>
    <t>Canais: Lorrane</t>
  </si>
  <si>
    <t>Aguardando formalização</t>
  </si>
  <si>
    <t>13/05/2026</t>
  </si>
  <si>
    <t>Liberação Cortesia Aniversariante: Corajoso</t>
  </si>
  <si>
    <t>Ana Sayão e Fernando - Planejamento</t>
  </si>
  <si>
    <t>POP criado - Aguardando aprovação</t>
  </si>
  <si>
    <t>Site Parque Do Caracol</t>
  </si>
  <si>
    <t>TI e Jurídico</t>
  </si>
  <si>
    <t>Situação bem complexa</t>
  </si>
  <si>
    <t>Ativação de Marca Vitta Boulevard e Concierge</t>
  </si>
  <si>
    <t>Ana Rizzo: Branding, Eduarda Borin: MKT E Maicon: Negócios</t>
  </si>
  <si>
    <t>Precisa passar para aprovação da Patrícia</t>
  </si>
  <si>
    <t>Demarcação do Chão da Bilheteria - Espaço do Corajoso</t>
  </si>
  <si>
    <t>Alan: Experiência do Visitante e Abner: Operações</t>
  </si>
  <si>
    <t>Aguardando análise</t>
  </si>
  <si>
    <t>Treinamento Time de Atendimento - Sobre o Corajoso</t>
  </si>
  <si>
    <t>Alan: Experiência do Visitante e Edison/Maicon: Negócios</t>
  </si>
  <si>
    <t>Marcar um call com o Allan na próxima semana</t>
  </si>
  <si>
    <t>Cortesias Para os Colaboradores do Parque - Sobre o Corajoso</t>
  </si>
  <si>
    <t>Aprovado - Criar lista de controle</t>
  </si>
  <si>
    <t>Casaco Corajoso para Extras</t>
  </si>
  <si>
    <t>Será emprestado aos profissionais que realizarão o extra</t>
  </si>
  <si>
    <t>Aprovado - definido pelo Allan</t>
  </si>
  <si>
    <t>Cenário Instagramável Local dos Equipamentos do Corajoso</t>
  </si>
  <si>
    <t>MKT</t>
  </si>
  <si>
    <t>Ainda +Corajoso | Desconto Segunda Vez</t>
  </si>
  <si>
    <t>Carol</t>
  </si>
  <si>
    <t>Uniforme Corajoso | Equipagem</t>
  </si>
  <si>
    <t>Maicon</t>
  </si>
  <si>
    <t>Speech de Empolgação Corajoso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</si>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</sst>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9" fontId="1" fillId="2" borderId="27" xfId="0" applyNumberFormat="1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9" fontId="0" fillId="3" borderId="24" xfId="0" applyNumberForma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4" fontId="0" fillId="6" borderId="9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14" fontId="0" fillId="6" borderId="10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2" fillId="0" borderId="29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9" fontId="2" fillId="0" borderId="36" xfId="0" applyNumberFormat="1" applyFont="1" applyBorder="1" applyAlignment="1">
      <alignment horizontal="center" vertical="center"/>
    </xf>
    <xf numFmtId="16" fontId="2" fillId="0" borderId="39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9" fontId="2" fillId="8" borderId="29" xfId="0" applyNumberFormat="1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9" fontId="2" fillId="8" borderId="36" xfId="0" applyNumberFormat="1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9" fontId="0" fillId="8" borderId="33" xfId="0" applyNumberFormat="1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9" fontId="0" fillId="8" borderId="5" xfId="0" applyNumberForma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9" fontId="1" fillId="2" borderId="4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9" fontId="1" fillId="2" borderId="7" xfId="0" applyNumberFormat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9" fontId="2" fillId="8" borderId="44" xfId="0" applyNumberFormat="1" applyFont="1" applyFill="1" applyBorder="1" applyAlignment="1">
      <alignment horizontal="center" vertical="center"/>
    </xf>
    <xf numFmtId="9" fontId="2" fillId="0" borderId="39" xfId="0" applyNumberFormat="1" applyFont="1" applyBorder="1" applyAlignment="1">
      <alignment horizontal="center" vertical="center"/>
    </xf>
    <xf numFmtId="9" fontId="2" fillId="0" borderId="44" xfId="0" applyNumberFormat="1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9" fontId="0" fillId="0" borderId="44" xfId="0" applyNumberFormat="1" applyBorder="1" applyAlignment="1">
      <alignment horizontal="center" vertical="center"/>
    </xf>
    <xf numFmtId="9" fontId="0" fillId="0" borderId="47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0" fontId="1" fillId="2" borderId="3" xfId="0" applyNumberFormat="1" applyFont="1" applyFill="1" applyBorder="1" applyAlignment="1">
      <alignment horizontal="center" vertical="center"/>
    </xf>
    <xf numFmtId="10" fontId="2" fillId="4" borderId="31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10" fontId="0" fillId="4" borderId="24" xfId="0" applyNumberFormat="1" applyFill="1" applyBorder="1" applyAlignment="1">
      <alignment horizontal="center" vertical="center"/>
    </xf>
    <xf numFmtId="9" fontId="2" fillId="9" borderId="48" xfId="0" applyNumberFormat="1" applyFont="1" applyFill="1" applyBorder="1" applyAlignment="1">
      <alignment horizontal="center" vertical="center"/>
    </xf>
    <xf numFmtId="9" fontId="2" fillId="9" borderId="9" xfId="0" applyNumberFormat="1" applyFont="1" applyFill="1" applyBorder="1" applyAlignment="1">
      <alignment horizontal="center" vertical="center"/>
    </xf>
    <xf numFmtId="9" fontId="0" fillId="9" borderId="9" xfId="0" applyNumberFormat="1" applyFill="1" applyBorder="1" applyAlignment="1">
      <alignment horizontal="center" vertical="center"/>
    </xf>
    <xf numFmtId="10" fontId="2" fillId="9" borderId="9" xfId="0" applyNumberFormat="1" applyFont="1" applyFill="1" applyBorder="1" applyAlignment="1">
      <alignment horizontal="center" vertical="center"/>
    </xf>
    <xf numFmtId="10" fontId="2" fillId="9" borderId="49" xfId="0" applyNumberFormat="1" applyFont="1" applyFill="1" applyBorder="1" applyAlignment="1">
      <alignment horizontal="center" vertical="center"/>
    </xf>
    <xf numFmtId="9" fontId="0" fillId="9" borderId="19" xfId="0" applyNumberFormat="1" applyFill="1" applyBorder="1" applyAlignment="1">
      <alignment horizontal="center" vertical="center"/>
    </xf>
    <xf numFmtId="9" fontId="0" fillId="9" borderId="10" xfId="0" applyNumberFormat="1" applyFill="1" applyBorder="1" applyAlignment="1">
      <alignment horizontal="center" vertical="center"/>
    </xf>
    <xf numFmtId="10" fontId="2" fillId="7" borderId="29" xfId="0" applyNumberFormat="1" applyFont="1" applyFill="1" applyBorder="1" applyAlignment="1">
      <alignment horizontal="center" vertical="center"/>
    </xf>
    <xf numFmtId="10" fontId="2" fillId="7" borderId="32" xfId="0" applyNumberFormat="1" applyFont="1" applyFill="1" applyBorder="1" applyAlignment="1">
      <alignment horizontal="center" vertical="center"/>
    </xf>
    <xf numFmtId="10" fontId="0" fillId="7" borderId="50" xfId="0" applyNumberFormat="1" applyFill="1" applyBorder="1" applyAlignment="1">
      <alignment horizontal="center" vertical="center"/>
    </xf>
    <xf numFmtId="10" fontId="0" fillId="7" borderId="29" xfId="0" applyNumberFormat="1" applyFill="1" applyBorder="1" applyAlignment="1">
      <alignment horizontal="center" vertical="center"/>
    </xf>
    <xf numFmtId="10" fontId="0" fillId="7" borderId="47" xfId="0" applyNumberForma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1" fillId="2" borderId="28" xfId="0" applyNumberFormat="1" applyFont="1" applyFill="1" applyBorder="1" applyAlignment="1">
      <alignment horizontal="center" vertical="center"/>
    </xf>
    <xf numFmtId="9" fontId="1" fillId="2" borderId="41" xfId="0" applyNumberFormat="1" applyFont="1" applyFill="1" applyBorder="1" applyAlignment="1">
      <alignment horizontal="center" vertical="center"/>
    </xf>
    <xf numFmtId="9" fontId="1" fillId="2" borderId="42" xfId="0" applyNumberFormat="1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F13" sqref="F13"/>
    </sheetView>
  </sheetViews>
  <sheetFormatPr defaultRowHeight="15"/>
  <cols>
    <col min="1" max="1" width="3.28515625" style="1" bestFit="1" customWidth="1"/>
    <col min="2" max="2" width="3.28515625" style="1" customWidth="1"/>
    <col min="3" max="3" width="21.85546875" style="1" bestFit="1" customWidth="1"/>
    <col min="4" max="4" width="10.85546875" style="2" bestFit="1" customWidth="1"/>
    <col min="5" max="5" width="16.28515625" style="1" bestFit="1" customWidth="1"/>
    <col min="6" max="6" width="24.140625" style="1" bestFit="1" customWidth="1"/>
    <col min="7" max="7" width="72.42578125" style="1" bestFit="1" customWidth="1"/>
    <col min="8" max="8" width="36.85546875" style="1" bestFit="1" customWidth="1"/>
    <col min="9" max="16384" width="9.140625" style="1"/>
  </cols>
  <sheetData>
    <row r="1" spans="1:8">
      <c r="C1" s="23" t="s">
        <v>0</v>
      </c>
      <c r="D1" s="24" t="s">
        <v>1</v>
      </c>
      <c r="E1" s="25" t="s">
        <v>2</v>
      </c>
      <c r="F1" s="25" t="s">
        <v>3</v>
      </c>
      <c r="G1" s="26" t="s">
        <v>4</v>
      </c>
    </row>
    <row r="2" spans="1:8">
      <c r="A2" s="1" t="s">
        <v>5</v>
      </c>
      <c r="C2" s="27" t="s">
        <v>6</v>
      </c>
      <c r="D2" s="28">
        <v>0.25</v>
      </c>
      <c r="E2" s="29" t="s">
        <v>7</v>
      </c>
      <c r="F2" s="29" t="s">
        <v>8</v>
      </c>
      <c r="G2" s="30" t="s">
        <v>9</v>
      </c>
      <c r="H2" s="1" t="s">
        <v>10</v>
      </c>
    </row>
    <row r="3" spans="1:8">
      <c r="A3" s="1" t="s">
        <v>5</v>
      </c>
      <c r="C3" s="15" t="s">
        <v>11</v>
      </c>
      <c r="D3" s="16">
        <v>0.3</v>
      </c>
      <c r="E3" s="17" t="s">
        <v>12</v>
      </c>
      <c r="F3" s="17" t="s">
        <v>13</v>
      </c>
      <c r="G3" s="18" t="s">
        <v>14</v>
      </c>
      <c r="H3" s="1" t="s">
        <v>15</v>
      </c>
    </row>
    <row r="4" spans="1:8">
      <c r="A4" s="1" t="s">
        <v>5</v>
      </c>
      <c r="C4" s="31" t="s">
        <v>16</v>
      </c>
      <c r="D4" s="32">
        <v>0.3</v>
      </c>
      <c r="E4" s="33" t="s">
        <v>12</v>
      </c>
      <c r="F4" s="33" t="s">
        <v>13</v>
      </c>
      <c r="G4" s="34" t="s">
        <v>14</v>
      </c>
      <c r="H4" s="1" t="s">
        <v>15</v>
      </c>
    </row>
    <row r="5" spans="1:8">
      <c r="A5" s="1" t="s">
        <v>5</v>
      </c>
      <c r="C5" s="15" t="s">
        <v>17</v>
      </c>
      <c r="D5" s="16">
        <v>0.2</v>
      </c>
      <c r="E5" s="17" t="s">
        <v>18</v>
      </c>
      <c r="F5" s="17" t="s">
        <v>13</v>
      </c>
      <c r="G5" s="18" t="s">
        <v>19</v>
      </c>
      <c r="H5" s="1" t="s">
        <v>20</v>
      </c>
    </row>
    <row r="6" spans="1:8">
      <c r="A6" s="1" t="s">
        <v>5</v>
      </c>
      <c r="C6" s="31" t="s">
        <v>21</v>
      </c>
      <c r="D6" s="32">
        <v>0.3</v>
      </c>
      <c r="E6" s="33" t="s">
        <v>22</v>
      </c>
      <c r="F6" s="33" t="s">
        <v>23</v>
      </c>
      <c r="G6" s="34" t="s">
        <v>24</v>
      </c>
      <c r="H6" s="1" t="s">
        <v>25</v>
      </c>
    </row>
    <row r="7" spans="1:8">
      <c r="A7" s="1" t="s">
        <v>5</v>
      </c>
      <c r="C7" s="15" t="s">
        <v>26</v>
      </c>
      <c r="D7" s="16">
        <v>0.2</v>
      </c>
      <c r="E7" s="17" t="s">
        <v>27</v>
      </c>
      <c r="F7" s="17" t="s">
        <v>23</v>
      </c>
      <c r="G7" s="18" t="s">
        <v>28</v>
      </c>
      <c r="H7" s="1" t="s">
        <v>28</v>
      </c>
    </row>
    <row r="8" spans="1:8">
      <c r="A8" s="1" t="s">
        <v>5</v>
      </c>
      <c r="C8" s="31" t="s">
        <v>29</v>
      </c>
      <c r="D8" s="32">
        <v>0.2</v>
      </c>
      <c r="E8" s="33" t="s">
        <v>30</v>
      </c>
      <c r="F8" s="33" t="s">
        <v>8</v>
      </c>
      <c r="G8" s="35" t="s">
        <v>31</v>
      </c>
      <c r="H8" s="1" t="s">
        <v>31</v>
      </c>
    </row>
    <row r="9" spans="1:8">
      <c r="A9" s="1" t="s">
        <v>5</v>
      </c>
      <c r="C9" s="15" t="s">
        <v>32</v>
      </c>
      <c r="D9" s="16">
        <v>0.2</v>
      </c>
      <c r="E9" s="17" t="s">
        <v>33</v>
      </c>
      <c r="F9" s="17" t="s">
        <v>23</v>
      </c>
      <c r="G9" s="18" t="s">
        <v>28</v>
      </c>
      <c r="H9" s="1" t="s">
        <v>34</v>
      </c>
    </row>
    <row r="10" spans="1:8">
      <c r="A10" s="1" t="s">
        <v>5</v>
      </c>
      <c r="C10" s="31" t="s">
        <v>35</v>
      </c>
      <c r="D10" s="32">
        <v>0.15</v>
      </c>
      <c r="E10" s="33" t="s">
        <v>36</v>
      </c>
      <c r="F10" s="33" t="s">
        <v>13</v>
      </c>
      <c r="G10" s="34" t="s">
        <v>37</v>
      </c>
      <c r="H10" s="1" t="s">
        <v>34</v>
      </c>
    </row>
    <row r="11" spans="1:8">
      <c r="A11" s="1" t="s">
        <v>5</v>
      </c>
      <c r="C11" s="15" t="s">
        <v>38</v>
      </c>
      <c r="D11" s="16">
        <v>0.25</v>
      </c>
      <c r="E11" s="17" t="s">
        <v>39</v>
      </c>
      <c r="F11" s="17" t="s">
        <v>40</v>
      </c>
      <c r="G11" s="18" t="s">
        <v>28</v>
      </c>
      <c r="H11" s="1" t="s">
        <v>34</v>
      </c>
    </row>
    <row r="12" spans="1:8">
      <c r="A12" s="1" t="s">
        <v>5</v>
      </c>
      <c r="C12" s="31" t="s">
        <v>41</v>
      </c>
      <c r="D12" s="32">
        <v>0.25</v>
      </c>
      <c r="E12" s="33" t="s">
        <v>42</v>
      </c>
      <c r="F12" s="33" t="s">
        <v>23</v>
      </c>
      <c r="G12" s="34" t="s">
        <v>43</v>
      </c>
      <c r="H12" s="1" t="s">
        <v>34</v>
      </c>
    </row>
    <row r="13" spans="1:8">
      <c r="A13" s="1" t="s">
        <v>5</v>
      </c>
      <c r="C13" s="15" t="s">
        <v>44</v>
      </c>
      <c r="D13" s="16">
        <v>0.3</v>
      </c>
      <c r="E13" s="17" t="s">
        <v>45</v>
      </c>
      <c r="F13" s="17" t="s">
        <v>13</v>
      </c>
      <c r="G13" s="18" t="s">
        <v>46</v>
      </c>
      <c r="H13" s="1" t="s">
        <v>34</v>
      </c>
    </row>
    <row r="14" spans="1:8">
      <c r="C14" s="31" t="s">
        <v>47</v>
      </c>
      <c r="D14" s="32">
        <v>0.15</v>
      </c>
      <c r="E14" s="33" t="s">
        <v>48</v>
      </c>
      <c r="F14" s="33" t="s">
        <v>8</v>
      </c>
      <c r="G14" s="34" t="s">
        <v>49</v>
      </c>
      <c r="H14" s="1" t="s">
        <v>49</v>
      </c>
    </row>
    <row r="15" spans="1:8">
      <c r="A15" s="1" t="s">
        <v>5</v>
      </c>
      <c r="C15" s="15" t="s">
        <v>50</v>
      </c>
      <c r="D15" s="16">
        <v>0.25</v>
      </c>
      <c r="E15" s="17" t="s">
        <v>51</v>
      </c>
      <c r="F15" s="17" t="s">
        <v>13</v>
      </c>
      <c r="G15" s="18" t="s">
        <v>52</v>
      </c>
      <c r="H15" s="1" t="s">
        <v>34</v>
      </c>
    </row>
    <row r="16" spans="1:8">
      <c r="A16" s="1" t="s">
        <v>5</v>
      </c>
      <c r="C16" s="31" t="s">
        <v>53</v>
      </c>
      <c r="D16" s="32">
        <v>0.25</v>
      </c>
      <c r="E16" s="33" t="s">
        <v>54</v>
      </c>
      <c r="F16" s="33" t="s">
        <v>55</v>
      </c>
      <c r="G16" s="34" t="s">
        <v>56</v>
      </c>
      <c r="H16" s="1" t="s">
        <v>57</v>
      </c>
    </row>
    <row r="17" spans="1:8">
      <c r="A17" s="1" t="s">
        <v>5</v>
      </c>
      <c r="C17" s="15" t="s">
        <v>58</v>
      </c>
      <c r="D17" s="16">
        <v>0.25</v>
      </c>
      <c r="E17" s="17" t="s">
        <v>59</v>
      </c>
      <c r="F17" s="17" t="s">
        <v>55</v>
      </c>
      <c r="G17" s="18" t="s">
        <v>60</v>
      </c>
      <c r="H17" s="1" t="s">
        <v>61</v>
      </c>
    </row>
    <row r="18" spans="1:8">
      <c r="A18" s="1" t="s">
        <v>5</v>
      </c>
      <c r="C18" s="31" t="s">
        <v>62</v>
      </c>
      <c r="D18" s="32">
        <v>0.25</v>
      </c>
      <c r="E18" s="33" t="s">
        <v>63</v>
      </c>
      <c r="F18" s="33" t="s">
        <v>55</v>
      </c>
      <c r="G18" s="34" t="s">
        <v>60</v>
      </c>
      <c r="H18" s="1" t="s">
        <v>61</v>
      </c>
    </row>
    <row r="19" spans="1:8">
      <c r="A19" s="1" t="s">
        <v>5</v>
      </c>
      <c r="C19" s="19" t="s">
        <v>64</v>
      </c>
      <c r="D19" s="20">
        <v>0.25</v>
      </c>
      <c r="E19" s="21" t="s">
        <v>65</v>
      </c>
      <c r="F19" s="21" t="s">
        <v>55</v>
      </c>
      <c r="G19" s="22" t="s">
        <v>66</v>
      </c>
      <c r="H19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D8EB-F7B2-4375-81B8-4A74A570B2C2}">
  <dimension ref="B1:P63"/>
  <sheetViews>
    <sheetView tabSelected="1" workbookViewId="0">
      <pane ySplit="2" topLeftCell="A3" activePane="bottomLeft" state="frozen"/>
      <selection pane="bottomLeft" activeCell="P1" sqref="O1:P1048576"/>
    </sheetView>
  </sheetViews>
  <sheetFormatPr defaultRowHeight="15"/>
  <cols>
    <col min="1" max="1" width="1.85546875" style="48" customWidth="1"/>
    <col min="2" max="2" width="7.5703125" style="48" customWidth="1"/>
    <col min="3" max="3" width="9.140625" style="48" bestFit="1" customWidth="1"/>
    <col min="4" max="4" width="6" style="48" bestFit="1" customWidth="1"/>
    <col min="5" max="5" width="10.85546875" style="48" bestFit="1" customWidth="1"/>
    <col min="6" max="6" width="12.28515625" style="75" bestFit="1" customWidth="1"/>
    <col min="7" max="7" width="8.5703125" style="75" bestFit="1" customWidth="1"/>
    <col min="8" max="8" width="7" style="75" hidden="1" customWidth="1"/>
    <col min="9" max="9" width="14.42578125" style="48" bestFit="1" customWidth="1"/>
    <col min="10" max="10" width="20" style="48" customWidth="1"/>
    <col min="11" max="11" width="18.28515625" style="48" hidden="1" customWidth="1"/>
    <col min="12" max="12" width="16.42578125" style="76" bestFit="1" customWidth="1"/>
    <col min="13" max="13" width="22.28515625" style="76" bestFit="1" customWidth="1"/>
    <col min="14" max="14" width="22.85546875" style="76" hidden="1" customWidth="1"/>
    <col min="15" max="15" width="20.140625" style="75" hidden="1" customWidth="1"/>
    <col min="16" max="16" width="42.28515625" style="48" hidden="1" customWidth="1"/>
    <col min="17" max="16384" width="9.140625" style="48"/>
  </cols>
  <sheetData>
    <row r="1" spans="2:16">
      <c r="B1" s="140" t="s">
        <v>67</v>
      </c>
      <c r="C1" s="137"/>
      <c r="D1" s="137" t="s">
        <v>68</v>
      </c>
      <c r="E1" s="137"/>
      <c r="F1" s="137"/>
      <c r="G1" s="135" t="s">
        <v>69</v>
      </c>
      <c r="H1" s="135"/>
      <c r="I1" s="138" t="s">
        <v>70</v>
      </c>
      <c r="J1" s="139"/>
      <c r="K1" s="139"/>
      <c r="L1" s="139"/>
      <c r="M1" s="139"/>
      <c r="N1" s="109"/>
      <c r="O1" s="135" t="s">
        <v>71</v>
      </c>
      <c r="P1" s="136"/>
    </row>
    <row r="2" spans="2:16">
      <c r="B2" s="92" t="s">
        <v>72</v>
      </c>
      <c r="C2" s="95" t="s">
        <v>73</v>
      </c>
      <c r="D2" s="93" t="s">
        <v>74</v>
      </c>
      <c r="E2" s="95" t="s">
        <v>75</v>
      </c>
      <c r="F2" s="94" t="s">
        <v>76</v>
      </c>
      <c r="G2" s="96" t="s">
        <v>77</v>
      </c>
      <c r="H2" s="94" t="s">
        <v>78</v>
      </c>
      <c r="I2" s="110" t="s">
        <v>79</v>
      </c>
      <c r="J2" s="107" t="s">
        <v>80</v>
      </c>
      <c r="K2" s="107" t="s">
        <v>81</v>
      </c>
      <c r="L2" s="108" t="s">
        <v>82</v>
      </c>
      <c r="M2" s="108" t="s">
        <v>83</v>
      </c>
      <c r="N2" s="111" t="s">
        <v>84</v>
      </c>
      <c r="O2" s="134" t="s">
        <v>85</v>
      </c>
      <c r="P2" s="97" t="s">
        <v>86</v>
      </c>
    </row>
    <row r="3" spans="2:16">
      <c r="B3" s="98" t="s">
        <v>87</v>
      </c>
      <c r="C3" s="99" t="s">
        <v>88</v>
      </c>
      <c r="D3" s="100">
        <v>2144</v>
      </c>
      <c r="E3" s="86">
        <v>326</v>
      </c>
      <c r="F3" s="101">
        <f>E3/D3</f>
        <v>0.15205223880597016</v>
      </c>
      <c r="G3" s="102" t="s">
        <v>89</v>
      </c>
      <c r="H3" s="103" t="s">
        <v>89</v>
      </c>
      <c r="I3" s="54">
        <v>1591</v>
      </c>
      <c r="J3" s="55">
        <v>60</v>
      </c>
      <c r="K3" s="55">
        <v>31</v>
      </c>
      <c r="L3" s="56">
        <f>I3/D3</f>
        <v>0.74207089552238803</v>
      </c>
      <c r="M3" s="56">
        <f>J3/I3</f>
        <v>3.7712130735386547E-2</v>
      </c>
      <c r="N3" s="123">
        <f>K3/J3</f>
        <v>0.51666666666666672</v>
      </c>
      <c r="O3" s="116" t="s">
        <v>90</v>
      </c>
      <c r="P3" s="128" t="s">
        <v>34</v>
      </c>
    </row>
    <row r="4" spans="2:16">
      <c r="B4" s="50" t="s">
        <v>91</v>
      </c>
      <c r="C4" s="51" t="s">
        <v>92</v>
      </c>
      <c r="D4" s="80">
        <v>2481</v>
      </c>
      <c r="E4" s="81">
        <v>377</v>
      </c>
      <c r="F4" s="82">
        <f t="shared" ref="F4:F33" si="0">E4/D4</f>
        <v>0.15195485691253527</v>
      </c>
      <c r="G4" s="52" t="s">
        <v>93</v>
      </c>
      <c r="H4" s="53" t="s">
        <v>89</v>
      </c>
      <c r="I4" s="54">
        <v>736</v>
      </c>
      <c r="J4" s="55">
        <v>19</v>
      </c>
      <c r="K4" s="55">
        <v>8</v>
      </c>
      <c r="L4" s="56">
        <f>I4/D4</f>
        <v>0.29665457476823859</v>
      </c>
      <c r="M4" s="56">
        <f>J4/I4</f>
        <v>2.5815217391304348E-2</v>
      </c>
      <c r="N4" s="123">
        <f>K4/J4</f>
        <v>0.42105263157894735</v>
      </c>
      <c r="O4" s="117" t="s">
        <v>94</v>
      </c>
      <c r="P4" s="129" t="s">
        <v>34</v>
      </c>
    </row>
    <row r="5" spans="2:16">
      <c r="B5" s="50" t="s">
        <v>95</v>
      </c>
      <c r="C5" s="51" t="s">
        <v>96</v>
      </c>
      <c r="D5" s="80">
        <v>1537</v>
      </c>
      <c r="E5" s="81">
        <v>234</v>
      </c>
      <c r="F5" s="82">
        <f t="shared" si="0"/>
        <v>0.15224463240078073</v>
      </c>
      <c r="G5" s="57" t="s">
        <v>89</v>
      </c>
      <c r="H5" s="58" t="s">
        <v>97</v>
      </c>
      <c r="I5" s="59">
        <v>1502</v>
      </c>
      <c r="J5" s="60">
        <v>90</v>
      </c>
      <c r="K5" s="60">
        <v>51</v>
      </c>
      <c r="L5" s="56">
        <f t="shared" ref="L5:L32" si="1">I5/D5</f>
        <v>0.97722836694860116</v>
      </c>
      <c r="M5" s="56">
        <f>J5/I5</f>
        <v>5.9920106524633823E-2</v>
      </c>
      <c r="N5" s="123">
        <f>K5/J5</f>
        <v>0.56666666666666665</v>
      </c>
      <c r="O5" s="118" t="s">
        <v>98</v>
      </c>
      <c r="P5" s="129" t="s">
        <v>99</v>
      </c>
    </row>
    <row r="6" spans="2:16">
      <c r="B6" s="50" t="s">
        <v>100</v>
      </c>
      <c r="C6" s="51" t="s">
        <v>101</v>
      </c>
      <c r="D6" s="80">
        <v>634</v>
      </c>
      <c r="E6" s="81">
        <v>96</v>
      </c>
      <c r="F6" s="82">
        <f>E6/D6</f>
        <v>0.15141955835962145</v>
      </c>
      <c r="G6" s="57" t="s">
        <v>93</v>
      </c>
      <c r="H6" s="53" t="s">
        <v>89</v>
      </c>
      <c r="I6" s="54">
        <v>396</v>
      </c>
      <c r="J6" s="55">
        <v>17</v>
      </c>
      <c r="K6" s="55">
        <v>5</v>
      </c>
      <c r="L6" s="56">
        <f t="shared" si="1"/>
        <v>0.62460567823343849</v>
      </c>
      <c r="M6" s="56">
        <f t="shared" ref="M6:M32" si="2">J6/I6</f>
        <v>4.2929292929292928E-2</v>
      </c>
      <c r="N6" s="123">
        <f>K6/J6</f>
        <v>0.29411764705882354</v>
      </c>
      <c r="O6" s="117" t="s">
        <v>102</v>
      </c>
      <c r="P6" s="129" t="s">
        <v>34</v>
      </c>
    </row>
    <row r="7" spans="2:16">
      <c r="B7" s="50" t="s">
        <v>103</v>
      </c>
      <c r="C7" s="51" t="s">
        <v>104</v>
      </c>
      <c r="D7" s="80">
        <v>614</v>
      </c>
      <c r="E7" s="81">
        <v>93</v>
      </c>
      <c r="F7" s="82">
        <f t="shared" si="0"/>
        <v>0.15146579804560262</v>
      </c>
      <c r="G7" s="57" t="s">
        <v>89</v>
      </c>
      <c r="H7" s="53" t="s">
        <v>89</v>
      </c>
      <c r="I7" s="54">
        <v>393</v>
      </c>
      <c r="J7" s="55">
        <v>30</v>
      </c>
      <c r="K7" s="55">
        <v>11</v>
      </c>
      <c r="L7" s="56">
        <f t="shared" si="1"/>
        <v>0.64006514657980451</v>
      </c>
      <c r="M7" s="56">
        <f t="shared" si="2"/>
        <v>7.6335877862595422E-2</v>
      </c>
      <c r="N7" s="123">
        <f>K7/J7</f>
        <v>0.36666666666666664</v>
      </c>
      <c r="O7" s="117" t="s">
        <v>102</v>
      </c>
      <c r="P7" s="129" t="s">
        <v>34</v>
      </c>
    </row>
    <row r="8" spans="2:16">
      <c r="B8" s="50" t="s">
        <v>105</v>
      </c>
      <c r="C8" s="51" t="s">
        <v>106</v>
      </c>
      <c r="D8" s="80">
        <v>602</v>
      </c>
      <c r="E8" s="81">
        <v>91</v>
      </c>
      <c r="F8" s="82">
        <f t="shared" si="0"/>
        <v>0.15116279069767441</v>
      </c>
      <c r="G8" s="57" t="s">
        <v>89</v>
      </c>
      <c r="H8" s="53" t="s">
        <v>89</v>
      </c>
      <c r="I8" s="54">
        <v>509</v>
      </c>
      <c r="J8" s="55">
        <v>29</v>
      </c>
      <c r="K8" s="55">
        <v>19</v>
      </c>
      <c r="L8" s="56">
        <f t="shared" si="1"/>
        <v>0.845514950166113</v>
      </c>
      <c r="M8" s="56">
        <f t="shared" si="2"/>
        <v>5.6974459724950882E-2</v>
      </c>
      <c r="N8" s="123">
        <f>K8/J8</f>
        <v>0.65517241379310343</v>
      </c>
      <c r="O8" s="117" t="s">
        <v>107</v>
      </c>
      <c r="P8" s="129" t="s">
        <v>34</v>
      </c>
    </row>
    <row r="9" spans="2:16">
      <c r="B9" s="50" t="s">
        <v>108</v>
      </c>
      <c r="C9" s="51" t="s">
        <v>109</v>
      </c>
      <c r="D9" s="80">
        <v>676</v>
      </c>
      <c r="E9" s="81">
        <v>103</v>
      </c>
      <c r="F9" s="82">
        <f t="shared" si="0"/>
        <v>0.15236686390532544</v>
      </c>
      <c r="G9" s="57" t="s">
        <v>89</v>
      </c>
      <c r="H9" s="53" t="s">
        <v>89</v>
      </c>
      <c r="I9" s="54">
        <v>410</v>
      </c>
      <c r="J9" s="55">
        <v>20</v>
      </c>
      <c r="K9" s="55">
        <v>14</v>
      </c>
      <c r="L9" s="56">
        <f t="shared" si="1"/>
        <v>0.60650887573964496</v>
      </c>
      <c r="M9" s="56">
        <f t="shared" si="2"/>
        <v>4.878048780487805E-2</v>
      </c>
      <c r="N9" s="123">
        <f>K9/J9</f>
        <v>0.7</v>
      </c>
      <c r="O9" s="117" t="s">
        <v>110</v>
      </c>
      <c r="P9" s="129" t="s">
        <v>111</v>
      </c>
    </row>
    <row r="10" spans="2:16">
      <c r="B10" s="50" t="s">
        <v>112</v>
      </c>
      <c r="C10" s="51" t="s">
        <v>88</v>
      </c>
      <c r="D10" s="80">
        <v>786</v>
      </c>
      <c r="E10" s="81">
        <v>119</v>
      </c>
      <c r="F10" s="82">
        <f t="shared" si="0"/>
        <v>0.15139949109414758</v>
      </c>
      <c r="G10" s="57" t="s">
        <v>93</v>
      </c>
      <c r="H10" s="53" t="s">
        <v>89</v>
      </c>
      <c r="I10" s="54">
        <v>395</v>
      </c>
      <c r="J10" s="55">
        <v>28</v>
      </c>
      <c r="K10" s="55">
        <v>10</v>
      </c>
      <c r="L10" s="56">
        <f t="shared" si="1"/>
        <v>0.50254452926208648</v>
      </c>
      <c r="M10" s="56">
        <f t="shared" si="2"/>
        <v>7.0886075949367092E-2</v>
      </c>
      <c r="N10" s="123">
        <f>K10/J10</f>
        <v>0.35714285714285715</v>
      </c>
      <c r="O10" s="117" t="s">
        <v>113</v>
      </c>
      <c r="P10" s="129" t="s">
        <v>34</v>
      </c>
    </row>
    <row r="11" spans="2:16">
      <c r="B11" s="50" t="s">
        <v>114</v>
      </c>
      <c r="C11" s="51" t="s">
        <v>92</v>
      </c>
      <c r="D11" s="80">
        <v>1000</v>
      </c>
      <c r="E11" s="81">
        <v>152</v>
      </c>
      <c r="F11" s="82">
        <f t="shared" si="0"/>
        <v>0.152</v>
      </c>
      <c r="G11" s="57" t="s">
        <v>89</v>
      </c>
      <c r="H11" s="53" t="s">
        <v>34</v>
      </c>
      <c r="I11" s="54">
        <v>923</v>
      </c>
      <c r="J11" s="55">
        <v>45</v>
      </c>
      <c r="K11" s="55">
        <v>26</v>
      </c>
      <c r="L11" s="56">
        <f t="shared" si="1"/>
        <v>0.92300000000000004</v>
      </c>
      <c r="M11" s="56">
        <f t="shared" si="2"/>
        <v>4.8754062838569881E-2</v>
      </c>
      <c r="N11" s="123">
        <f>K11/J11</f>
        <v>0.57777777777777772</v>
      </c>
      <c r="O11" s="117" t="s">
        <v>115</v>
      </c>
      <c r="P11" s="129" t="s">
        <v>34</v>
      </c>
    </row>
    <row r="12" spans="2:16">
      <c r="B12" s="50" t="s">
        <v>116</v>
      </c>
      <c r="C12" s="51" t="s">
        <v>96</v>
      </c>
      <c r="D12" s="80">
        <v>1022</v>
      </c>
      <c r="E12" s="81">
        <v>155</v>
      </c>
      <c r="F12" s="82">
        <f t="shared" si="0"/>
        <v>0.15166340508806261</v>
      </c>
      <c r="G12" s="57" t="s">
        <v>89</v>
      </c>
      <c r="H12" s="53" t="s">
        <v>97</v>
      </c>
      <c r="I12" s="54">
        <v>726</v>
      </c>
      <c r="J12" s="55">
        <v>30</v>
      </c>
      <c r="K12" s="55">
        <v>13</v>
      </c>
      <c r="L12" s="56">
        <f t="shared" si="1"/>
        <v>0.71037181996086107</v>
      </c>
      <c r="M12" s="56">
        <f t="shared" si="2"/>
        <v>4.1322314049586778E-2</v>
      </c>
      <c r="N12" s="123">
        <f>K12/J12</f>
        <v>0.43333333333333335</v>
      </c>
      <c r="O12" s="117" t="s">
        <v>117</v>
      </c>
      <c r="P12" s="129" t="s">
        <v>99</v>
      </c>
    </row>
    <row r="13" spans="2:16">
      <c r="B13" s="50" t="s">
        <v>118</v>
      </c>
      <c r="C13" s="51" t="s">
        <v>101</v>
      </c>
      <c r="D13" s="80">
        <v>636</v>
      </c>
      <c r="E13" s="81">
        <v>97</v>
      </c>
      <c r="F13" s="82">
        <f t="shared" si="0"/>
        <v>0.15251572327044025</v>
      </c>
      <c r="G13" s="57" t="s">
        <v>89</v>
      </c>
      <c r="H13" s="53" t="s">
        <v>97</v>
      </c>
      <c r="I13" s="54">
        <v>463</v>
      </c>
      <c r="J13" s="55">
        <v>19</v>
      </c>
      <c r="K13" s="55">
        <v>15</v>
      </c>
      <c r="L13" s="56">
        <f t="shared" si="1"/>
        <v>0.7279874213836478</v>
      </c>
      <c r="M13" s="56">
        <f t="shared" si="2"/>
        <v>4.1036717062634988E-2</v>
      </c>
      <c r="N13" s="123">
        <f>K13/J13</f>
        <v>0.78947368421052633</v>
      </c>
      <c r="O13" s="117" t="s">
        <v>119</v>
      </c>
      <c r="P13" s="129" t="s">
        <v>99</v>
      </c>
    </row>
    <row r="14" spans="2:16">
      <c r="B14" s="50" t="s">
        <v>120</v>
      </c>
      <c r="C14" s="51" t="s">
        <v>104</v>
      </c>
      <c r="D14" s="80">
        <v>617</v>
      </c>
      <c r="E14" s="81">
        <v>94</v>
      </c>
      <c r="F14" s="82">
        <f t="shared" si="0"/>
        <v>0.15235008103727715</v>
      </c>
      <c r="G14" s="57" t="s">
        <v>89</v>
      </c>
      <c r="H14" s="53" t="s">
        <v>34</v>
      </c>
      <c r="I14" s="54">
        <v>684</v>
      </c>
      <c r="J14" s="55">
        <v>28</v>
      </c>
      <c r="K14" s="55">
        <v>20</v>
      </c>
      <c r="L14" s="56">
        <f t="shared" si="1"/>
        <v>1.1085899513776336</v>
      </c>
      <c r="M14" s="56">
        <f t="shared" si="2"/>
        <v>4.0935672514619881E-2</v>
      </c>
      <c r="N14" s="123">
        <f>K14/J14</f>
        <v>0.7142857142857143</v>
      </c>
      <c r="O14" s="117" t="s">
        <v>121</v>
      </c>
      <c r="P14" s="129" t="s">
        <v>34</v>
      </c>
    </row>
    <row r="15" spans="2:16">
      <c r="B15" s="50" t="s">
        <v>122</v>
      </c>
      <c r="C15" s="51" t="s">
        <v>106</v>
      </c>
      <c r="D15" s="80">
        <v>605</v>
      </c>
      <c r="E15" s="81">
        <v>92</v>
      </c>
      <c r="F15" s="82">
        <f t="shared" si="0"/>
        <v>0.15206611570247933</v>
      </c>
      <c r="G15" s="57" t="s">
        <v>93</v>
      </c>
      <c r="H15" s="53" t="s">
        <v>34</v>
      </c>
      <c r="I15" s="54">
        <v>767</v>
      </c>
      <c r="J15" s="55">
        <v>29</v>
      </c>
      <c r="K15" s="55">
        <v>18</v>
      </c>
      <c r="L15" s="56">
        <f t="shared" si="1"/>
        <v>1.2677685950413222</v>
      </c>
      <c r="M15" s="56">
        <f t="shared" si="2"/>
        <v>3.7809647979139507E-2</v>
      </c>
      <c r="N15" s="123">
        <f>K15/J15</f>
        <v>0.62068965517241381</v>
      </c>
      <c r="O15" s="117" t="s">
        <v>123</v>
      </c>
      <c r="P15" s="129" t="s">
        <v>34</v>
      </c>
    </row>
    <row r="16" spans="2:16">
      <c r="B16" s="50" t="s">
        <v>124</v>
      </c>
      <c r="C16" s="51" t="s">
        <v>109</v>
      </c>
      <c r="D16" s="80">
        <v>679</v>
      </c>
      <c r="E16" s="81">
        <v>103</v>
      </c>
      <c r="F16" s="82">
        <f t="shared" si="0"/>
        <v>0.15169366715758467</v>
      </c>
      <c r="G16" s="57" t="s">
        <v>125</v>
      </c>
      <c r="H16" s="53" t="s">
        <v>34</v>
      </c>
      <c r="I16" s="54">
        <v>768</v>
      </c>
      <c r="J16" s="55">
        <v>40</v>
      </c>
      <c r="K16" s="55">
        <v>30</v>
      </c>
      <c r="L16" s="56">
        <f t="shared" si="1"/>
        <v>1.1310751104565537</v>
      </c>
      <c r="M16" s="56">
        <f t="shared" si="2"/>
        <v>5.2083333333333336E-2</v>
      </c>
      <c r="N16" s="123">
        <f>K16/J16</f>
        <v>0.75</v>
      </c>
      <c r="O16" s="117" t="s">
        <v>126</v>
      </c>
      <c r="P16" s="129" t="s">
        <v>34</v>
      </c>
    </row>
    <row r="17" spans="2:16">
      <c r="B17" s="50" t="s">
        <v>127</v>
      </c>
      <c r="C17" s="51" t="s">
        <v>88</v>
      </c>
      <c r="D17" s="80">
        <v>788</v>
      </c>
      <c r="E17" s="81">
        <v>120</v>
      </c>
      <c r="F17" s="82">
        <f t="shared" si="0"/>
        <v>0.15228426395939088</v>
      </c>
      <c r="G17" s="57" t="s">
        <v>125</v>
      </c>
      <c r="H17" s="53" t="s">
        <v>34</v>
      </c>
      <c r="I17" s="54">
        <v>575</v>
      </c>
      <c r="J17" s="55">
        <v>24</v>
      </c>
      <c r="K17" s="55">
        <v>15</v>
      </c>
      <c r="L17" s="56">
        <f t="shared" si="1"/>
        <v>0.72969543147208127</v>
      </c>
      <c r="M17" s="56">
        <f>J17/I17</f>
        <v>4.1739130434782612E-2</v>
      </c>
      <c r="N17" s="123">
        <f>K17/J17</f>
        <v>0.625</v>
      </c>
      <c r="O17" s="117" t="s">
        <v>128</v>
      </c>
      <c r="P17" s="129" t="s">
        <v>34</v>
      </c>
    </row>
    <row r="18" spans="2:16">
      <c r="B18" s="50" t="s">
        <v>129</v>
      </c>
      <c r="C18" s="51" t="s">
        <v>92</v>
      </c>
      <c r="D18" s="80">
        <v>1003</v>
      </c>
      <c r="E18" s="81">
        <v>152</v>
      </c>
      <c r="F18" s="82">
        <f t="shared" si="0"/>
        <v>0.15154536390827517</v>
      </c>
      <c r="G18" s="57" t="s">
        <v>93</v>
      </c>
      <c r="H18" s="53" t="s">
        <v>97</v>
      </c>
      <c r="I18" s="54">
        <v>1298</v>
      </c>
      <c r="J18" s="55">
        <v>66</v>
      </c>
      <c r="K18" s="55">
        <v>41</v>
      </c>
      <c r="L18" s="56">
        <f t="shared" si="1"/>
        <v>1.2941176470588236</v>
      </c>
      <c r="M18" s="56">
        <f t="shared" si="2"/>
        <v>5.0847457627118647E-2</v>
      </c>
      <c r="N18" s="123">
        <f>K18/J18</f>
        <v>0.62121212121212122</v>
      </c>
      <c r="O18" s="117" t="s">
        <v>130</v>
      </c>
      <c r="P18" s="129" t="s">
        <v>99</v>
      </c>
    </row>
    <row r="19" spans="2:16">
      <c r="B19" s="50" t="s">
        <v>131</v>
      </c>
      <c r="C19" s="51" t="s">
        <v>96</v>
      </c>
      <c r="D19" s="80">
        <v>1028</v>
      </c>
      <c r="E19" s="81">
        <v>156</v>
      </c>
      <c r="F19" s="82">
        <f t="shared" si="0"/>
        <v>0.1517509727626459</v>
      </c>
      <c r="G19" s="57" t="s">
        <v>125</v>
      </c>
      <c r="H19" s="53" t="s">
        <v>34</v>
      </c>
      <c r="I19" s="54">
        <v>427</v>
      </c>
      <c r="J19" s="55">
        <v>24</v>
      </c>
      <c r="K19" s="55">
        <v>24</v>
      </c>
      <c r="L19" s="56">
        <f t="shared" si="1"/>
        <v>0.41536964980544749</v>
      </c>
      <c r="M19" s="56">
        <f t="shared" si="2"/>
        <v>5.6206088992974239E-2</v>
      </c>
      <c r="N19" s="123">
        <f>K19/J19</f>
        <v>1</v>
      </c>
      <c r="O19" s="117" t="s">
        <v>132</v>
      </c>
      <c r="P19" s="129" t="s">
        <v>34</v>
      </c>
    </row>
    <row r="20" spans="2:16">
      <c r="B20" s="50" t="s">
        <v>133</v>
      </c>
      <c r="C20" s="51" t="s">
        <v>101</v>
      </c>
      <c r="D20" s="80">
        <v>634</v>
      </c>
      <c r="E20" s="81">
        <v>96</v>
      </c>
      <c r="F20" s="82">
        <f t="shared" si="0"/>
        <v>0.15141955835962145</v>
      </c>
      <c r="G20" s="57" t="s">
        <v>125</v>
      </c>
      <c r="H20" s="53" t="s">
        <v>34</v>
      </c>
      <c r="I20" s="54">
        <v>178</v>
      </c>
      <c r="J20" s="55">
        <v>9</v>
      </c>
      <c r="K20" s="55">
        <v>17</v>
      </c>
      <c r="L20" s="56">
        <f t="shared" si="1"/>
        <v>0.28075709779179808</v>
      </c>
      <c r="M20" s="56">
        <f t="shared" si="2"/>
        <v>5.0561797752808987E-2</v>
      </c>
      <c r="N20" s="123">
        <f>K20/J20</f>
        <v>1.8888888888888888</v>
      </c>
      <c r="O20" s="117" t="s">
        <v>134</v>
      </c>
      <c r="P20" s="129"/>
    </row>
    <row r="21" spans="2:16">
      <c r="B21" s="50" t="s">
        <v>135</v>
      </c>
      <c r="C21" s="51" t="s">
        <v>104</v>
      </c>
      <c r="D21" s="80">
        <v>614</v>
      </c>
      <c r="E21" s="81">
        <v>93</v>
      </c>
      <c r="F21" s="82">
        <f t="shared" si="0"/>
        <v>0.15146579804560262</v>
      </c>
      <c r="G21" s="57" t="s">
        <v>125</v>
      </c>
      <c r="H21" s="53" t="s">
        <v>34</v>
      </c>
      <c r="I21" s="54">
        <v>733</v>
      </c>
      <c r="J21" s="55">
        <v>36</v>
      </c>
      <c r="K21" s="55">
        <v>13</v>
      </c>
      <c r="L21" s="56">
        <f t="shared" si="1"/>
        <v>1.1938110749185669</v>
      </c>
      <c r="M21" s="56">
        <f t="shared" si="2"/>
        <v>4.9113233287858118E-2</v>
      </c>
      <c r="N21" s="123">
        <f>K21/J21</f>
        <v>0.3611111111111111</v>
      </c>
      <c r="O21" s="119">
        <v>0.505</v>
      </c>
      <c r="P21" s="129" t="s">
        <v>34</v>
      </c>
    </row>
    <row r="22" spans="2:16">
      <c r="B22" s="50" t="s">
        <v>136</v>
      </c>
      <c r="C22" s="51" t="s">
        <v>106</v>
      </c>
      <c r="D22" s="80">
        <v>603</v>
      </c>
      <c r="E22" s="81">
        <v>92</v>
      </c>
      <c r="F22" s="82">
        <f>E22/D22</f>
        <v>0.15257048092868988</v>
      </c>
      <c r="G22" s="57" t="s">
        <v>125</v>
      </c>
      <c r="H22" s="53" t="s">
        <v>34</v>
      </c>
      <c r="I22" s="54">
        <v>724</v>
      </c>
      <c r="J22" s="55">
        <v>39</v>
      </c>
      <c r="K22" s="55">
        <v>24</v>
      </c>
      <c r="L22" s="56">
        <f t="shared" si="1"/>
        <v>1.2006633499170813</v>
      </c>
      <c r="M22" s="56">
        <f t="shared" si="2"/>
        <v>5.3867403314917128E-2</v>
      </c>
      <c r="N22" s="123">
        <f>K22/J22</f>
        <v>0.61538461538461542</v>
      </c>
      <c r="O22" s="119">
        <v>0.55600000000000005</v>
      </c>
      <c r="P22" s="129" t="s">
        <v>34</v>
      </c>
    </row>
    <row r="23" spans="2:16">
      <c r="B23" s="50" t="s">
        <v>137</v>
      </c>
      <c r="C23" s="51" t="s">
        <v>109</v>
      </c>
      <c r="D23" s="80">
        <v>677</v>
      </c>
      <c r="E23" s="81">
        <v>103</v>
      </c>
      <c r="F23" s="82">
        <f>E23/D23</f>
        <v>0.15214180206794684</v>
      </c>
      <c r="G23" s="57" t="s">
        <v>125</v>
      </c>
      <c r="H23" s="53" t="s">
        <v>34</v>
      </c>
      <c r="I23" s="54">
        <v>550</v>
      </c>
      <c r="J23" s="55">
        <v>35</v>
      </c>
      <c r="K23" s="55">
        <v>34</v>
      </c>
      <c r="L23" s="56">
        <f t="shared" si="1"/>
        <v>0.8124076809453471</v>
      </c>
      <c r="M23" s="56">
        <f t="shared" si="2"/>
        <v>6.363636363636363E-2</v>
      </c>
      <c r="N23" s="123">
        <f>K23/J23</f>
        <v>0.97142857142857142</v>
      </c>
      <c r="O23" s="119">
        <v>0.63400000000000001</v>
      </c>
      <c r="P23" s="129" t="s">
        <v>34</v>
      </c>
    </row>
    <row r="24" spans="2:16">
      <c r="B24" s="50" t="s">
        <v>138</v>
      </c>
      <c r="C24" s="51" t="s">
        <v>88</v>
      </c>
      <c r="D24" s="80">
        <v>787</v>
      </c>
      <c r="E24" s="81">
        <v>120</v>
      </c>
      <c r="F24" s="82">
        <f>E24/D24</f>
        <v>0.15247776365946633</v>
      </c>
      <c r="G24" s="57" t="s">
        <v>125</v>
      </c>
      <c r="H24" s="53" t="s">
        <v>34</v>
      </c>
      <c r="I24" s="54">
        <v>894</v>
      </c>
      <c r="J24" s="55">
        <v>39</v>
      </c>
      <c r="K24" s="55">
        <v>32</v>
      </c>
      <c r="L24" s="56">
        <f t="shared" si="1"/>
        <v>1.1359593392630241</v>
      </c>
      <c r="M24" s="56">
        <f t="shared" si="2"/>
        <v>4.3624161073825503E-2</v>
      </c>
      <c r="N24" s="123">
        <f>K24/J24</f>
        <v>0.82051282051282048</v>
      </c>
      <c r="O24" s="119">
        <v>0.76200000000000001</v>
      </c>
      <c r="P24" s="129" t="s">
        <v>34</v>
      </c>
    </row>
    <row r="25" spans="2:16">
      <c r="B25" s="50" t="s">
        <v>139</v>
      </c>
      <c r="C25" s="51" t="s">
        <v>92</v>
      </c>
      <c r="D25" s="80">
        <v>1000</v>
      </c>
      <c r="E25" s="81">
        <v>152</v>
      </c>
      <c r="F25" s="82">
        <f>E25/D25</f>
        <v>0.152</v>
      </c>
      <c r="G25" s="57" t="s">
        <v>125</v>
      </c>
      <c r="H25" s="53" t="s">
        <v>97</v>
      </c>
      <c r="I25" s="54">
        <v>969</v>
      </c>
      <c r="J25" s="55">
        <v>59</v>
      </c>
      <c r="K25" s="55">
        <v>32</v>
      </c>
      <c r="L25" s="56">
        <f t="shared" si="1"/>
        <v>0.96899999999999997</v>
      </c>
      <c r="M25" s="56">
        <f t="shared" si="2"/>
        <v>6.0887512899896801E-2</v>
      </c>
      <c r="N25" s="123">
        <f>K25/J25</f>
        <v>0.5423728813559322</v>
      </c>
      <c r="O25" s="119">
        <v>0.88500000000000001</v>
      </c>
      <c r="P25" s="129" t="s">
        <v>99</v>
      </c>
    </row>
    <row r="26" spans="2:16">
      <c r="B26" s="50" t="s">
        <v>140</v>
      </c>
      <c r="C26" s="51" t="s">
        <v>96</v>
      </c>
      <c r="D26" s="80">
        <v>1029</v>
      </c>
      <c r="E26" s="81">
        <v>156</v>
      </c>
      <c r="F26" s="82">
        <f>E26/D26</f>
        <v>0.15160349854227406</v>
      </c>
      <c r="G26" s="57" t="s">
        <v>125</v>
      </c>
      <c r="H26" s="53" t="s">
        <v>34</v>
      </c>
      <c r="I26" s="54">
        <v>1014</v>
      </c>
      <c r="J26" s="55">
        <v>45</v>
      </c>
      <c r="K26" s="55">
        <v>5</v>
      </c>
      <c r="L26" s="56">
        <f t="shared" si="1"/>
        <v>0.98542274052478129</v>
      </c>
      <c r="M26" s="56">
        <f t="shared" si="2"/>
        <v>4.4378698224852069E-2</v>
      </c>
      <c r="N26" s="123">
        <f>K26/J26</f>
        <v>0.1111111111111111</v>
      </c>
      <c r="O26" s="119">
        <v>0.64200000000000002</v>
      </c>
      <c r="P26" s="129" t="s">
        <v>34</v>
      </c>
    </row>
    <row r="27" spans="2:16">
      <c r="B27" s="50" t="s">
        <v>141</v>
      </c>
      <c r="C27" s="51" t="s">
        <v>101</v>
      </c>
      <c r="D27" s="80">
        <v>635</v>
      </c>
      <c r="E27" s="81">
        <v>97</v>
      </c>
      <c r="F27" s="82">
        <f t="shared" si="0"/>
        <v>0.15275590551181104</v>
      </c>
      <c r="G27" s="57" t="s">
        <v>93</v>
      </c>
      <c r="H27" s="53" t="s">
        <v>34</v>
      </c>
      <c r="I27" s="54">
        <v>763</v>
      </c>
      <c r="J27" s="55">
        <v>45</v>
      </c>
      <c r="K27" s="55">
        <v>17</v>
      </c>
      <c r="L27" s="56">
        <f t="shared" si="1"/>
        <v>1.2015748031496063</v>
      </c>
      <c r="M27" s="56">
        <f t="shared" si="2"/>
        <v>5.8977719528178242E-2</v>
      </c>
      <c r="N27" s="123">
        <f>K27/J27</f>
        <v>0.37777777777777777</v>
      </c>
      <c r="O27" s="119">
        <v>0.56000000000000005</v>
      </c>
      <c r="P27" s="129" t="s">
        <v>34</v>
      </c>
    </row>
    <row r="28" spans="2:16">
      <c r="B28" s="50" t="s">
        <v>142</v>
      </c>
      <c r="C28" s="51" t="s">
        <v>104</v>
      </c>
      <c r="D28" s="80">
        <v>615</v>
      </c>
      <c r="E28" s="81">
        <v>93</v>
      </c>
      <c r="F28" s="82">
        <f t="shared" si="0"/>
        <v>0.15121951219512195</v>
      </c>
      <c r="G28" s="57" t="s">
        <v>143</v>
      </c>
      <c r="H28" s="53" t="s">
        <v>34</v>
      </c>
      <c r="I28" s="54">
        <v>199</v>
      </c>
      <c r="J28" s="55">
        <v>7</v>
      </c>
      <c r="K28" s="55">
        <v>14</v>
      </c>
      <c r="L28" s="56">
        <f t="shared" si="1"/>
        <v>0.3235772357723577</v>
      </c>
      <c r="M28" s="56">
        <f t="shared" si="2"/>
        <v>3.5175879396984924E-2</v>
      </c>
      <c r="N28" s="123">
        <f>K28/J28</f>
        <v>2</v>
      </c>
      <c r="O28" s="119">
        <v>0.50800000000000001</v>
      </c>
      <c r="P28" s="129" t="s">
        <v>144</v>
      </c>
    </row>
    <row r="29" spans="2:16">
      <c r="B29" s="50" t="s">
        <v>145</v>
      </c>
      <c r="C29" s="51" t="s">
        <v>106</v>
      </c>
      <c r="D29" s="80">
        <v>604</v>
      </c>
      <c r="E29" s="81">
        <v>92</v>
      </c>
      <c r="F29" s="82">
        <f t="shared" si="0"/>
        <v>0.15231788079470199</v>
      </c>
      <c r="G29" s="57" t="s">
        <v>93</v>
      </c>
      <c r="H29" s="53" t="s">
        <v>34</v>
      </c>
      <c r="I29" s="54">
        <v>684</v>
      </c>
      <c r="J29" s="55">
        <v>41</v>
      </c>
      <c r="K29" s="55">
        <v>17</v>
      </c>
      <c r="L29" s="56">
        <f t="shared" si="1"/>
        <v>1.1324503311258278</v>
      </c>
      <c r="M29" s="56">
        <f t="shared" si="2"/>
        <v>5.9941520467836254E-2</v>
      </c>
      <c r="N29" s="123">
        <f>K29/J29</f>
        <v>0.41463414634146339</v>
      </c>
      <c r="O29" s="119">
        <v>0.51100000000000001</v>
      </c>
      <c r="P29" s="129" t="s">
        <v>34</v>
      </c>
    </row>
    <row r="30" spans="2:16">
      <c r="B30" s="50" t="s">
        <v>146</v>
      </c>
      <c r="C30" s="51" t="s">
        <v>109</v>
      </c>
      <c r="D30" s="80">
        <v>677</v>
      </c>
      <c r="E30" s="81">
        <v>103</v>
      </c>
      <c r="F30" s="82">
        <f t="shared" si="0"/>
        <v>0.15214180206794684</v>
      </c>
      <c r="G30" s="57" t="s">
        <v>125</v>
      </c>
      <c r="H30" s="53" t="s">
        <v>34</v>
      </c>
      <c r="I30" s="54">
        <v>915</v>
      </c>
      <c r="J30" s="55">
        <v>32</v>
      </c>
      <c r="K30" s="55">
        <v>14</v>
      </c>
      <c r="L30" s="56">
        <f t="shared" si="1"/>
        <v>1.3515509601181683</v>
      </c>
      <c r="M30" s="56">
        <f t="shared" si="2"/>
        <v>3.4972677595628415E-2</v>
      </c>
      <c r="N30" s="123">
        <f>K30/J30</f>
        <v>0.4375</v>
      </c>
      <c r="O30" s="119">
        <v>0.56200000000000006</v>
      </c>
      <c r="P30" s="129" t="s">
        <v>34</v>
      </c>
    </row>
    <row r="31" spans="2:16">
      <c r="B31" s="50" t="s">
        <v>147</v>
      </c>
      <c r="C31" s="51" t="s">
        <v>88</v>
      </c>
      <c r="D31" s="80">
        <v>788</v>
      </c>
      <c r="E31" s="81">
        <v>120</v>
      </c>
      <c r="F31" s="82">
        <f t="shared" si="0"/>
        <v>0.15228426395939088</v>
      </c>
      <c r="G31" s="57" t="s">
        <v>93</v>
      </c>
      <c r="H31" s="53" t="s">
        <v>34</v>
      </c>
      <c r="I31" s="54">
        <v>503</v>
      </c>
      <c r="J31" s="55">
        <v>24</v>
      </c>
      <c r="K31" s="55">
        <v>0</v>
      </c>
      <c r="L31" s="56">
        <f t="shared" si="1"/>
        <v>0.6383248730964467</v>
      </c>
      <c r="M31" s="56">
        <f t="shared" si="2"/>
        <v>4.7713717693836977E-2</v>
      </c>
      <c r="N31" s="123">
        <f>K31/J31</f>
        <v>0</v>
      </c>
      <c r="O31" s="119">
        <v>0.65100000000000002</v>
      </c>
      <c r="P31" s="129" t="s">
        <v>34</v>
      </c>
    </row>
    <row r="32" spans="2:16">
      <c r="B32" s="50" t="s">
        <v>148</v>
      </c>
      <c r="C32" s="51" t="s">
        <v>92</v>
      </c>
      <c r="D32" s="80">
        <v>1001</v>
      </c>
      <c r="E32" s="81">
        <v>152</v>
      </c>
      <c r="F32" s="82">
        <f t="shared" si="0"/>
        <v>0.15184815184815184</v>
      </c>
      <c r="G32" s="57" t="s">
        <v>125</v>
      </c>
      <c r="H32" s="53" t="s">
        <v>97</v>
      </c>
      <c r="I32" s="54">
        <v>948</v>
      </c>
      <c r="J32" s="55">
        <v>49</v>
      </c>
      <c r="K32" s="55"/>
      <c r="L32" s="56">
        <f t="shared" si="1"/>
        <v>0.94705294705294707</v>
      </c>
      <c r="M32" s="56">
        <f t="shared" si="2"/>
        <v>5.1687763713080169E-2</v>
      </c>
      <c r="N32" s="123">
        <f>K32/J32</f>
        <v>0</v>
      </c>
      <c r="O32" s="119">
        <v>0.76300000000000001</v>
      </c>
      <c r="P32" s="129" t="s">
        <v>99</v>
      </c>
    </row>
    <row r="33" spans="2:16">
      <c r="B33" s="63" t="s">
        <v>149</v>
      </c>
      <c r="C33" s="64" t="s">
        <v>96</v>
      </c>
      <c r="D33" s="83">
        <v>1029</v>
      </c>
      <c r="E33" s="84">
        <v>156</v>
      </c>
      <c r="F33" s="85">
        <f t="shared" si="0"/>
        <v>0.15160349854227406</v>
      </c>
      <c r="G33" s="65" t="s">
        <v>125</v>
      </c>
      <c r="H33" s="66" t="s">
        <v>34</v>
      </c>
      <c r="I33" s="61">
        <v>821</v>
      </c>
      <c r="J33" s="62">
        <v>50</v>
      </c>
      <c r="K33" s="62"/>
      <c r="L33" s="112">
        <f>I33/D33</f>
        <v>0.79786200194363455</v>
      </c>
      <c r="M33" s="112">
        <f>J33/I33</f>
        <v>6.090133982947625E-2</v>
      </c>
      <c r="N33" s="124">
        <f>K33/J33</f>
        <v>0</v>
      </c>
      <c r="O33" s="120">
        <v>0.49099999999999999</v>
      </c>
      <c r="P33" s="130" t="s">
        <v>34</v>
      </c>
    </row>
    <row r="34" spans="2:16">
      <c r="B34" s="67">
        <v>46174</v>
      </c>
      <c r="C34" s="68" t="s">
        <v>101</v>
      </c>
      <c r="D34" s="86">
        <v>977</v>
      </c>
      <c r="E34" s="86">
        <v>99</v>
      </c>
      <c r="F34" s="87">
        <f>E34/D34</f>
        <v>0.10133060388945753</v>
      </c>
      <c r="G34" s="69" t="s">
        <v>143</v>
      </c>
      <c r="H34" s="105" t="s">
        <v>89</v>
      </c>
      <c r="I34" s="113">
        <v>448</v>
      </c>
      <c r="J34" s="114">
        <v>35</v>
      </c>
      <c r="K34" s="114"/>
      <c r="L34" s="115">
        <f>I34/D34</f>
        <v>0.45854657113613101</v>
      </c>
      <c r="M34" s="115">
        <f>J34/I34</f>
        <v>7.8125E-2</v>
      </c>
      <c r="N34" s="125"/>
      <c r="O34" s="121"/>
      <c r="P34" s="131"/>
    </row>
    <row r="35" spans="2:16">
      <c r="B35" s="70">
        <f>B34+1</f>
        <v>46175</v>
      </c>
      <c r="C35" s="71" t="s">
        <v>104</v>
      </c>
      <c r="D35" s="81">
        <v>895</v>
      </c>
      <c r="E35" s="81">
        <v>91</v>
      </c>
      <c r="F35" s="88">
        <f>E35/D35</f>
        <v>0.10167597765363129</v>
      </c>
      <c r="G35" s="49" t="s">
        <v>125</v>
      </c>
      <c r="H35" s="58" t="s">
        <v>89</v>
      </c>
      <c r="I35" s="59">
        <v>593</v>
      </c>
      <c r="J35" s="60">
        <v>30</v>
      </c>
      <c r="K35" s="60"/>
      <c r="L35" s="77">
        <f>I35/D35</f>
        <v>0.66256983240223466</v>
      </c>
      <c r="M35" s="77">
        <f>J35/I35</f>
        <v>5.0590219224283306E-2</v>
      </c>
      <c r="N35" s="126"/>
      <c r="O35" s="118"/>
      <c r="P35" s="132"/>
    </row>
    <row r="36" spans="2:16">
      <c r="B36" s="70">
        <f>B35+1</f>
        <v>46176</v>
      </c>
      <c r="C36" s="71" t="s">
        <v>106</v>
      </c>
      <c r="D36" s="81">
        <v>859</v>
      </c>
      <c r="E36" s="81">
        <v>87</v>
      </c>
      <c r="F36" s="88">
        <f t="shared" ref="F36:F63" si="3">E36/D36</f>
        <v>0.10128055878928988</v>
      </c>
      <c r="G36" s="49" t="s">
        <v>125</v>
      </c>
      <c r="H36" s="58" t="s">
        <v>89</v>
      </c>
      <c r="I36" s="59">
        <v>646</v>
      </c>
      <c r="J36" s="60">
        <v>38</v>
      </c>
      <c r="K36" s="60"/>
      <c r="L36" s="77">
        <f>I36/D36</f>
        <v>0.75203725261932475</v>
      </c>
      <c r="M36" s="77">
        <f>J36/I36</f>
        <v>5.8823529411764705E-2</v>
      </c>
      <c r="N36" s="126"/>
      <c r="O36" s="118"/>
      <c r="P36" s="132"/>
    </row>
    <row r="37" spans="2:16">
      <c r="B37" s="70">
        <f>B36+1</f>
        <v>46177</v>
      </c>
      <c r="C37" s="71" t="s">
        <v>109</v>
      </c>
      <c r="D37" s="89">
        <v>1921</v>
      </c>
      <c r="E37" s="81">
        <v>195</v>
      </c>
      <c r="F37" s="88">
        <f t="shared" si="3"/>
        <v>0.1015096304008329</v>
      </c>
      <c r="G37" s="49" t="s">
        <v>125</v>
      </c>
      <c r="H37" s="58" t="s">
        <v>89</v>
      </c>
      <c r="I37" s="59">
        <v>1376</v>
      </c>
      <c r="J37" s="60">
        <v>63</v>
      </c>
      <c r="K37" s="60"/>
      <c r="L37" s="77">
        <f>I37/D37</f>
        <v>0.71629359708485163</v>
      </c>
      <c r="M37" s="77">
        <f>J37/I37</f>
        <v>4.5784883720930231E-2</v>
      </c>
      <c r="N37" s="126"/>
      <c r="O37" s="118"/>
      <c r="P37" s="132"/>
    </row>
    <row r="38" spans="2:16">
      <c r="B38" s="70">
        <f>B37+1</f>
        <v>46178</v>
      </c>
      <c r="C38" s="71" t="s">
        <v>88</v>
      </c>
      <c r="D38" s="89">
        <v>2532</v>
      </c>
      <c r="E38" s="81">
        <v>256</v>
      </c>
      <c r="F38" s="88">
        <f t="shared" si="3"/>
        <v>0.10110584518167456</v>
      </c>
      <c r="G38" s="49" t="s">
        <v>125</v>
      </c>
      <c r="H38" s="58" t="s">
        <v>89</v>
      </c>
      <c r="I38" s="59">
        <v>2450</v>
      </c>
      <c r="J38" s="60">
        <v>158</v>
      </c>
      <c r="K38" s="60"/>
      <c r="L38" s="77">
        <f>I38/D38</f>
        <v>0.96761453396524488</v>
      </c>
      <c r="M38" s="77">
        <f>J38/I38</f>
        <v>6.4489795918367343E-2</v>
      </c>
      <c r="N38" s="126"/>
      <c r="O38" s="118"/>
      <c r="P38" s="132"/>
    </row>
    <row r="39" spans="2:16">
      <c r="B39" s="70">
        <f>B38+1</f>
        <v>46179</v>
      </c>
      <c r="C39" s="71" t="s">
        <v>92</v>
      </c>
      <c r="D39" s="89">
        <v>2600</v>
      </c>
      <c r="E39" s="81">
        <v>263</v>
      </c>
      <c r="F39" s="88">
        <f t="shared" si="3"/>
        <v>0.10115384615384615</v>
      </c>
      <c r="G39" s="49" t="s">
        <v>125</v>
      </c>
      <c r="H39" s="58" t="s">
        <v>97</v>
      </c>
      <c r="I39" s="59">
        <v>2740</v>
      </c>
      <c r="J39" s="60">
        <v>157</v>
      </c>
      <c r="K39" s="60"/>
      <c r="L39" s="77">
        <f>I39/D39</f>
        <v>1.0538461538461539</v>
      </c>
      <c r="M39" s="77">
        <f>J39/I39</f>
        <v>5.7299270072992702E-2</v>
      </c>
      <c r="N39" s="126"/>
      <c r="O39" s="118"/>
      <c r="P39" s="132"/>
    </row>
    <row r="40" spans="2:16">
      <c r="B40" s="70">
        <f>B39+1</f>
        <v>46180</v>
      </c>
      <c r="C40" s="71" t="s">
        <v>96</v>
      </c>
      <c r="D40" s="89">
        <v>1998</v>
      </c>
      <c r="E40" s="81">
        <v>202</v>
      </c>
      <c r="F40" s="88">
        <f t="shared" si="3"/>
        <v>0.1011011011011011</v>
      </c>
      <c r="G40" s="49" t="s">
        <v>125</v>
      </c>
      <c r="H40" s="58" t="s">
        <v>89</v>
      </c>
      <c r="I40" s="59">
        <v>839</v>
      </c>
      <c r="J40" s="60">
        <v>49</v>
      </c>
      <c r="K40" s="60"/>
      <c r="L40" s="77">
        <f>I40/D40</f>
        <v>0.41991991991991989</v>
      </c>
      <c r="M40" s="77">
        <f>J40/I40</f>
        <v>5.8402860548271755E-2</v>
      </c>
      <c r="N40" s="126"/>
      <c r="O40" s="118"/>
      <c r="P40" s="132"/>
    </row>
    <row r="41" spans="2:16">
      <c r="B41" s="70">
        <f>B40+1</f>
        <v>46181</v>
      </c>
      <c r="C41" s="71" t="s">
        <v>101</v>
      </c>
      <c r="D41" s="81">
        <v>977</v>
      </c>
      <c r="E41" s="81">
        <v>99</v>
      </c>
      <c r="F41" s="88">
        <f t="shared" si="3"/>
        <v>0.10133060388945753</v>
      </c>
      <c r="G41" s="49" t="s">
        <v>125</v>
      </c>
      <c r="H41" s="58" t="s">
        <v>89</v>
      </c>
      <c r="I41" s="59">
        <v>298</v>
      </c>
      <c r="J41" s="60">
        <v>16</v>
      </c>
      <c r="K41" s="60"/>
      <c r="L41" s="77">
        <f>I41/D41</f>
        <v>0.30501535312180145</v>
      </c>
      <c r="M41" s="77">
        <f>J41/I41</f>
        <v>5.3691275167785234E-2</v>
      </c>
      <c r="N41" s="126"/>
      <c r="O41" s="118"/>
      <c r="P41" s="132"/>
    </row>
    <row r="42" spans="2:16">
      <c r="B42" s="70">
        <f>B41+1</f>
        <v>46182</v>
      </c>
      <c r="C42" s="71" t="s">
        <v>104</v>
      </c>
      <c r="D42" s="81">
        <v>895</v>
      </c>
      <c r="E42" s="81">
        <v>91</v>
      </c>
      <c r="F42" s="88">
        <f t="shared" si="3"/>
        <v>0.10167597765363129</v>
      </c>
      <c r="G42" s="49" t="s">
        <v>125</v>
      </c>
      <c r="H42" s="58" t="s">
        <v>89</v>
      </c>
      <c r="I42" s="59">
        <v>394</v>
      </c>
      <c r="J42" s="60">
        <v>25</v>
      </c>
      <c r="K42" s="60"/>
      <c r="L42" s="77">
        <f>I42/D42</f>
        <v>0.44022346368715082</v>
      </c>
      <c r="M42" s="77">
        <f>J42/I42</f>
        <v>6.3451776649746189E-2</v>
      </c>
      <c r="N42" s="126"/>
      <c r="O42" s="118"/>
      <c r="P42" s="132"/>
    </row>
    <row r="43" spans="2:16">
      <c r="B43" s="70">
        <f>B42+1</f>
        <v>46183</v>
      </c>
      <c r="C43" s="71" t="s">
        <v>106</v>
      </c>
      <c r="D43" s="81">
        <v>859</v>
      </c>
      <c r="E43" s="81">
        <v>87</v>
      </c>
      <c r="F43" s="88">
        <f t="shared" si="3"/>
        <v>0.10128055878928988</v>
      </c>
      <c r="G43" s="49" t="s">
        <v>93</v>
      </c>
      <c r="H43" s="58" t="s">
        <v>89</v>
      </c>
      <c r="I43" s="59">
        <v>810</v>
      </c>
      <c r="J43" s="60">
        <v>27</v>
      </c>
      <c r="K43" s="60"/>
      <c r="L43" s="77">
        <f>I43/D43</f>
        <v>0.94295692665890574</v>
      </c>
      <c r="M43" s="77">
        <f>J43/I43</f>
        <v>3.3333333333333333E-2</v>
      </c>
      <c r="N43" s="126"/>
      <c r="O43" s="118"/>
      <c r="P43" s="132"/>
    </row>
    <row r="44" spans="2:16">
      <c r="B44" s="70">
        <f>B43+1</f>
        <v>46184</v>
      </c>
      <c r="C44" s="71" t="s">
        <v>109</v>
      </c>
      <c r="D44" s="81">
        <v>942</v>
      </c>
      <c r="E44" s="81">
        <v>95</v>
      </c>
      <c r="F44" s="88">
        <f t="shared" si="3"/>
        <v>0.10084925690021232</v>
      </c>
      <c r="G44" s="49" t="s">
        <v>125</v>
      </c>
      <c r="H44" s="58" t="s">
        <v>150</v>
      </c>
      <c r="I44" s="59">
        <v>636</v>
      </c>
      <c r="J44" s="60">
        <v>37</v>
      </c>
      <c r="K44" s="60"/>
      <c r="L44" s="77">
        <f>I44/D44</f>
        <v>0.67515923566878977</v>
      </c>
      <c r="M44" s="77">
        <f>J44/I44</f>
        <v>5.8176100628930819E-2</v>
      </c>
      <c r="N44" s="126"/>
      <c r="O44" s="118"/>
      <c r="P44" s="132"/>
    </row>
    <row r="45" spans="2:16">
      <c r="B45" s="70">
        <f>B44+1</f>
        <v>46185</v>
      </c>
      <c r="C45" s="71" t="s">
        <v>88</v>
      </c>
      <c r="D45" s="89">
        <v>1423</v>
      </c>
      <c r="E45" s="81">
        <v>144</v>
      </c>
      <c r="F45" s="88">
        <f t="shared" si="3"/>
        <v>0.10119465917076599</v>
      </c>
      <c r="G45" s="49" t="s">
        <v>93</v>
      </c>
      <c r="H45" s="58" t="s">
        <v>150</v>
      </c>
      <c r="I45" s="59">
        <v>408</v>
      </c>
      <c r="J45" s="60">
        <v>24</v>
      </c>
      <c r="K45" s="60"/>
      <c r="L45" s="77">
        <f>I45/D45</f>
        <v>0.28671820098383699</v>
      </c>
      <c r="M45" s="77">
        <f>J45/I45</f>
        <v>5.8823529411764705E-2</v>
      </c>
      <c r="N45" s="126"/>
      <c r="O45" s="118"/>
      <c r="P45" s="132"/>
    </row>
    <row r="46" spans="2:16">
      <c r="B46" s="70">
        <f>B45+1</f>
        <v>46186</v>
      </c>
      <c r="C46" s="71" t="s">
        <v>92</v>
      </c>
      <c r="D46" s="89">
        <v>2067</v>
      </c>
      <c r="E46" s="81">
        <v>209</v>
      </c>
      <c r="F46" s="88">
        <f t="shared" si="3"/>
        <v>0.10111272375423319</v>
      </c>
      <c r="G46" s="49" t="s">
        <v>143</v>
      </c>
      <c r="H46" s="58" t="s">
        <v>89</v>
      </c>
      <c r="I46" s="59">
        <v>1328</v>
      </c>
      <c r="J46" s="60">
        <v>65</v>
      </c>
      <c r="K46" s="60"/>
      <c r="L46" s="77"/>
      <c r="M46" s="77"/>
      <c r="N46" s="126"/>
      <c r="O46" s="118"/>
      <c r="P46" s="132"/>
    </row>
    <row r="47" spans="2:16">
      <c r="B47" s="70">
        <f>B46+1</f>
        <v>46187</v>
      </c>
      <c r="C47" s="71" t="s">
        <v>96</v>
      </c>
      <c r="D47" s="89">
        <v>1642</v>
      </c>
      <c r="E47" s="81">
        <v>166</v>
      </c>
      <c r="F47" s="88">
        <f t="shared" si="3"/>
        <v>0.10109622411693057</v>
      </c>
      <c r="G47" s="49" t="s">
        <v>143</v>
      </c>
      <c r="H47" s="58" t="s">
        <v>89</v>
      </c>
      <c r="I47" s="59">
        <v>1006</v>
      </c>
      <c r="J47" s="60">
        <v>68</v>
      </c>
      <c r="K47" s="60"/>
      <c r="L47" s="77"/>
      <c r="M47" s="77"/>
      <c r="N47" s="126"/>
      <c r="O47" s="118"/>
      <c r="P47" s="132"/>
    </row>
    <row r="48" spans="2:16">
      <c r="B48" s="70">
        <f>B47+1</f>
        <v>46188</v>
      </c>
      <c r="C48" s="71" t="s">
        <v>101</v>
      </c>
      <c r="D48" s="81">
        <v>977</v>
      </c>
      <c r="E48" s="81">
        <v>99</v>
      </c>
      <c r="F48" s="88">
        <f t="shared" si="3"/>
        <v>0.10133060388945753</v>
      </c>
      <c r="G48" s="49" t="s">
        <v>143</v>
      </c>
      <c r="H48" s="58" t="s">
        <v>89</v>
      </c>
      <c r="I48" s="59"/>
      <c r="J48" s="60"/>
      <c r="K48" s="60"/>
      <c r="L48" s="77"/>
      <c r="M48" s="77"/>
      <c r="N48" s="126"/>
      <c r="O48" s="118"/>
      <c r="P48" s="132"/>
    </row>
    <row r="49" spans="2:16">
      <c r="B49" s="70">
        <f>B48+1</f>
        <v>46189</v>
      </c>
      <c r="C49" s="71" t="s">
        <v>104</v>
      </c>
      <c r="D49" s="81">
        <v>895</v>
      </c>
      <c r="E49" s="81">
        <v>91</v>
      </c>
      <c r="F49" s="88">
        <f t="shared" si="3"/>
        <v>0.10167597765363129</v>
      </c>
      <c r="G49" s="49" t="s">
        <v>125</v>
      </c>
      <c r="H49" s="58" t="s">
        <v>89</v>
      </c>
      <c r="I49" s="59"/>
      <c r="J49" s="60"/>
      <c r="K49" s="60"/>
      <c r="L49" s="77"/>
      <c r="M49" s="77"/>
      <c r="N49" s="126"/>
      <c r="O49" s="118"/>
      <c r="P49" s="132" t="s">
        <v>151</v>
      </c>
    </row>
    <row r="50" spans="2:16">
      <c r="B50" s="70">
        <f>B49+1</f>
        <v>46190</v>
      </c>
      <c r="C50" s="71" t="s">
        <v>106</v>
      </c>
      <c r="D50" s="81">
        <v>859</v>
      </c>
      <c r="E50" s="81">
        <v>87</v>
      </c>
      <c r="F50" s="88">
        <f t="shared" si="3"/>
        <v>0.10128055878928988</v>
      </c>
      <c r="G50" s="49" t="s">
        <v>125</v>
      </c>
      <c r="H50" s="58" t="s">
        <v>89</v>
      </c>
      <c r="I50" s="59"/>
      <c r="J50" s="60"/>
      <c r="K50" s="60"/>
      <c r="L50" s="77"/>
      <c r="M50" s="77"/>
      <c r="N50" s="126"/>
      <c r="O50" s="118"/>
      <c r="P50" s="132"/>
    </row>
    <row r="51" spans="2:16">
      <c r="B51" s="70">
        <f>B50+1</f>
        <v>46191</v>
      </c>
      <c r="C51" s="71" t="s">
        <v>109</v>
      </c>
      <c r="D51" s="81">
        <v>942</v>
      </c>
      <c r="E51" s="81">
        <v>95</v>
      </c>
      <c r="F51" s="88">
        <f t="shared" si="3"/>
        <v>0.10084925690021232</v>
      </c>
      <c r="G51" s="49" t="s">
        <v>125</v>
      </c>
      <c r="H51" s="58" t="s">
        <v>89</v>
      </c>
      <c r="I51" s="59"/>
      <c r="J51" s="60"/>
      <c r="K51" s="60"/>
      <c r="L51" s="77"/>
      <c r="M51" s="77"/>
      <c r="N51" s="126"/>
      <c r="O51" s="118"/>
      <c r="P51" s="132"/>
    </row>
    <row r="52" spans="2:16">
      <c r="B52" s="70">
        <f>B51+1</f>
        <v>46192</v>
      </c>
      <c r="C52" s="71" t="s">
        <v>88</v>
      </c>
      <c r="D52" s="89">
        <v>1201</v>
      </c>
      <c r="E52" s="81">
        <v>122</v>
      </c>
      <c r="F52" s="88">
        <f t="shared" si="3"/>
        <v>0.10158201498751041</v>
      </c>
      <c r="G52" s="49" t="s">
        <v>93</v>
      </c>
      <c r="H52" s="58" t="s">
        <v>89</v>
      </c>
      <c r="I52" s="59"/>
      <c r="J52" s="60"/>
      <c r="K52" s="60"/>
      <c r="L52" s="77"/>
      <c r="M52" s="77"/>
      <c r="N52" s="126"/>
      <c r="O52" s="118"/>
      <c r="P52" s="132"/>
    </row>
    <row r="53" spans="2:16">
      <c r="B53" s="70">
        <f>B52+1</f>
        <v>46193</v>
      </c>
      <c r="C53" s="71" t="s">
        <v>92</v>
      </c>
      <c r="D53" s="89">
        <v>2067</v>
      </c>
      <c r="E53" s="81">
        <v>209</v>
      </c>
      <c r="F53" s="88">
        <f t="shared" si="3"/>
        <v>0.10111272375423319</v>
      </c>
      <c r="G53" s="49" t="s">
        <v>93</v>
      </c>
      <c r="H53" s="58" t="s">
        <v>89</v>
      </c>
      <c r="I53" s="59"/>
      <c r="J53" s="60"/>
      <c r="K53" s="60"/>
      <c r="L53" s="77"/>
      <c r="M53" s="77"/>
      <c r="N53" s="126"/>
      <c r="O53" s="118"/>
      <c r="P53" s="132"/>
    </row>
    <row r="54" spans="2:16">
      <c r="B54" s="70">
        <f>B53+1</f>
        <v>46194</v>
      </c>
      <c r="C54" s="71" t="s">
        <v>96</v>
      </c>
      <c r="D54" s="89">
        <v>1642</v>
      </c>
      <c r="E54" s="81">
        <v>166</v>
      </c>
      <c r="F54" s="88">
        <f t="shared" si="3"/>
        <v>0.10109622411693057</v>
      </c>
      <c r="G54" s="49"/>
      <c r="H54" s="58" t="s">
        <v>89</v>
      </c>
      <c r="I54" s="59"/>
      <c r="J54" s="60"/>
      <c r="K54" s="60"/>
      <c r="L54" s="77"/>
      <c r="M54" s="77"/>
      <c r="N54" s="126"/>
      <c r="O54" s="118"/>
      <c r="P54" s="132"/>
    </row>
    <row r="55" spans="2:16">
      <c r="B55" s="70">
        <f>B54+1</f>
        <v>46195</v>
      </c>
      <c r="C55" s="71" t="s">
        <v>101</v>
      </c>
      <c r="D55" s="81">
        <v>977</v>
      </c>
      <c r="E55" s="81">
        <v>99</v>
      </c>
      <c r="F55" s="88">
        <f t="shared" si="3"/>
        <v>0.10133060388945753</v>
      </c>
      <c r="G55" s="49"/>
      <c r="H55" s="58"/>
      <c r="I55" s="59"/>
      <c r="J55" s="60"/>
      <c r="K55" s="60"/>
      <c r="L55" s="77"/>
      <c r="M55" s="77"/>
      <c r="N55" s="126"/>
      <c r="O55" s="118"/>
      <c r="P55" s="132"/>
    </row>
    <row r="56" spans="2:16">
      <c r="B56" s="70">
        <f>B55+1</f>
        <v>46196</v>
      </c>
      <c r="C56" s="71" t="s">
        <v>104</v>
      </c>
      <c r="D56" s="81">
        <v>895</v>
      </c>
      <c r="E56" s="81">
        <v>91</v>
      </c>
      <c r="F56" s="88">
        <f t="shared" si="3"/>
        <v>0.10167597765363129</v>
      </c>
      <c r="G56" s="49"/>
      <c r="H56" s="58"/>
      <c r="I56" s="59"/>
      <c r="J56" s="60"/>
      <c r="K56" s="60"/>
      <c r="L56" s="77"/>
      <c r="M56" s="77"/>
      <c r="N56" s="126"/>
      <c r="O56" s="118"/>
      <c r="P56" s="132"/>
    </row>
    <row r="57" spans="2:16">
      <c r="B57" s="70">
        <f>B56+1</f>
        <v>46197</v>
      </c>
      <c r="C57" s="71" t="s">
        <v>106</v>
      </c>
      <c r="D57" s="81">
        <v>859</v>
      </c>
      <c r="E57" s="81">
        <v>87</v>
      </c>
      <c r="F57" s="88">
        <f t="shared" si="3"/>
        <v>0.10128055878928988</v>
      </c>
      <c r="G57" s="49"/>
      <c r="H57" s="58"/>
      <c r="I57" s="59"/>
      <c r="J57" s="60"/>
      <c r="K57" s="60"/>
      <c r="L57" s="77"/>
      <c r="M57" s="77"/>
      <c r="N57" s="126"/>
      <c r="O57" s="118"/>
      <c r="P57" s="132"/>
    </row>
    <row r="58" spans="2:16">
      <c r="B58" s="70">
        <f>B57+1</f>
        <v>46198</v>
      </c>
      <c r="C58" s="71" t="s">
        <v>109</v>
      </c>
      <c r="D58" s="81">
        <v>942</v>
      </c>
      <c r="E58" s="81">
        <v>95</v>
      </c>
      <c r="F58" s="88">
        <f t="shared" si="3"/>
        <v>0.10084925690021232</v>
      </c>
      <c r="G58" s="49"/>
      <c r="H58" s="58"/>
      <c r="I58" s="59"/>
      <c r="J58" s="60"/>
      <c r="K58" s="60"/>
      <c r="L58" s="77"/>
      <c r="M58" s="77"/>
      <c r="N58" s="126"/>
      <c r="O58" s="118"/>
      <c r="P58" s="132"/>
    </row>
    <row r="59" spans="2:16">
      <c r="B59" s="70">
        <f>B58+1</f>
        <v>46199</v>
      </c>
      <c r="C59" s="71" t="s">
        <v>88</v>
      </c>
      <c r="D59" s="89">
        <v>1201</v>
      </c>
      <c r="E59" s="81">
        <v>122</v>
      </c>
      <c r="F59" s="88">
        <f t="shared" si="3"/>
        <v>0.10158201498751041</v>
      </c>
      <c r="G59" s="49"/>
      <c r="H59" s="58"/>
      <c r="I59" s="59"/>
      <c r="J59" s="60"/>
      <c r="K59" s="60"/>
      <c r="L59" s="77"/>
      <c r="M59" s="77"/>
      <c r="N59" s="126"/>
      <c r="O59" s="118"/>
      <c r="P59" s="132"/>
    </row>
    <row r="60" spans="2:16">
      <c r="B60" s="70">
        <f>B59+1</f>
        <v>46200</v>
      </c>
      <c r="C60" s="71" t="s">
        <v>92</v>
      </c>
      <c r="D60" s="89">
        <v>2067</v>
      </c>
      <c r="E60" s="81">
        <v>209</v>
      </c>
      <c r="F60" s="88">
        <f t="shared" si="3"/>
        <v>0.10111272375423319</v>
      </c>
      <c r="G60" s="49"/>
      <c r="H60" s="58"/>
      <c r="I60" s="59"/>
      <c r="J60" s="60"/>
      <c r="K60" s="60"/>
      <c r="L60" s="77"/>
      <c r="M60" s="77"/>
      <c r="N60" s="126"/>
      <c r="O60" s="118"/>
      <c r="P60" s="132"/>
    </row>
    <row r="61" spans="2:16">
      <c r="B61" s="70">
        <f>B60+1</f>
        <v>46201</v>
      </c>
      <c r="C61" s="71" t="s">
        <v>96</v>
      </c>
      <c r="D61" s="89">
        <v>1642</v>
      </c>
      <c r="E61" s="81">
        <v>166</v>
      </c>
      <c r="F61" s="88">
        <f t="shared" si="3"/>
        <v>0.10109622411693057</v>
      </c>
      <c r="G61" s="49"/>
      <c r="H61" s="58"/>
      <c r="I61" s="59"/>
      <c r="J61" s="60"/>
      <c r="K61" s="60"/>
      <c r="L61" s="77"/>
      <c r="M61" s="77"/>
      <c r="N61" s="126"/>
      <c r="O61" s="118"/>
      <c r="P61" s="132"/>
    </row>
    <row r="62" spans="2:16">
      <c r="B62" s="70">
        <f>B61+1</f>
        <v>46202</v>
      </c>
      <c r="C62" s="71" t="s">
        <v>101</v>
      </c>
      <c r="D62" s="81">
        <v>977</v>
      </c>
      <c r="E62" s="81">
        <v>99</v>
      </c>
      <c r="F62" s="88">
        <f t="shared" si="3"/>
        <v>0.10133060388945753</v>
      </c>
      <c r="G62" s="49"/>
      <c r="H62" s="58"/>
      <c r="I62" s="59"/>
      <c r="J62" s="60"/>
      <c r="K62" s="60"/>
      <c r="L62" s="77"/>
      <c r="M62" s="77"/>
      <c r="N62" s="126"/>
      <c r="O62" s="118"/>
      <c r="P62" s="132"/>
    </row>
    <row r="63" spans="2:16">
      <c r="B63" s="72">
        <f>B62+1</f>
        <v>46203</v>
      </c>
      <c r="C63" s="73" t="s">
        <v>104</v>
      </c>
      <c r="D63" s="90">
        <v>895</v>
      </c>
      <c r="E63" s="90">
        <v>91</v>
      </c>
      <c r="F63" s="91">
        <f t="shared" si="3"/>
        <v>0.10167597765363129</v>
      </c>
      <c r="G63" s="74"/>
      <c r="H63" s="106"/>
      <c r="I63" s="104"/>
      <c r="J63" s="78"/>
      <c r="K63" s="78"/>
      <c r="L63" s="79"/>
      <c r="M63" s="79"/>
      <c r="N63" s="127"/>
      <c r="O63" s="122"/>
      <c r="P63" s="133"/>
    </row>
  </sheetData>
  <mergeCells count="5">
    <mergeCell ref="O1:P1"/>
    <mergeCell ref="D1:F1"/>
    <mergeCell ref="I1:M1"/>
    <mergeCell ref="G1:H1"/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4E5-14F1-447E-A3EE-F6200280E35B}">
  <dimension ref="B2:F21"/>
  <sheetViews>
    <sheetView workbookViewId="0">
      <selection activeCell="C16" sqref="C16"/>
    </sheetView>
  </sheetViews>
  <sheetFormatPr defaultRowHeight="15"/>
  <cols>
    <col min="1" max="1" width="9.140625" style="1"/>
    <col min="2" max="2" width="56.5703125" style="1" bestFit="1" customWidth="1"/>
    <col min="3" max="3" width="55.7109375" style="1" bestFit="1" customWidth="1"/>
    <col min="4" max="4" width="52.140625" style="1" bestFit="1" customWidth="1"/>
    <col min="5" max="5" width="21.28515625" style="1" bestFit="1" customWidth="1"/>
    <col min="6" max="6" width="11.85546875" style="1" bestFit="1" customWidth="1"/>
    <col min="7" max="16384" width="9.140625" style="1"/>
  </cols>
  <sheetData>
    <row r="2" spans="2:6">
      <c r="B2" s="141" t="s">
        <v>152</v>
      </c>
      <c r="C2" s="142"/>
      <c r="D2" s="142"/>
      <c r="E2" s="143"/>
    </row>
    <row r="3" spans="2:6">
      <c r="B3" s="7" t="s">
        <v>153</v>
      </c>
      <c r="C3" s="8" t="s">
        <v>154</v>
      </c>
      <c r="D3" s="8" t="s">
        <v>4</v>
      </c>
      <c r="E3" s="3" t="s">
        <v>155</v>
      </c>
    </row>
    <row r="4" spans="2:6">
      <c r="B4" s="10" t="s">
        <v>156</v>
      </c>
      <c r="C4" s="11" t="s">
        <v>157</v>
      </c>
      <c r="D4" s="12" t="s">
        <v>158</v>
      </c>
      <c r="E4" s="10" t="s">
        <v>159</v>
      </c>
      <c r="F4" s="1" t="s">
        <v>34</v>
      </c>
    </row>
    <row r="5" spans="2:6">
      <c r="B5" s="40" t="s">
        <v>160</v>
      </c>
      <c r="C5" s="41" t="s">
        <v>161</v>
      </c>
      <c r="D5" s="42" t="s">
        <v>162</v>
      </c>
      <c r="E5" s="40" t="s">
        <v>159</v>
      </c>
      <c r="F5" s="1" t="s">
        <v>34</v>
      </c>
    </row>
    <row r="6" spans="2:6">
      <c r="B6" s="40" t="s">
        <v>163</v>
      </c>
      <c r="C6" s="41" t="s">
        <v>164</v>
      </c>
      <c r="D6" s="42" t="s">
        <v>165</v>
      </c>
      <c r="E6" s="43">
        <v>46239</v>
      </c>
      <c r="F6" s="1" t="s">
        <v>166</v>
      </c>
    </row>
    <row r="7" spans="2:6">
      <c r="B7" s="40" t="s">
        <v>167</v>
      </c>
      <c r="C7" s="41" t="s">
        <v>164</v>
      </c>
      <c r="D7" s="42" t="s">
        <v>165</v>
      </c>
      <c r="E7" s="43">
        <v>46239</v>
      </c>
      <c r="F7" s="1" t="s">
        <v>166</v>
      </c>
    </row>
    <row r="8" spans="2:6">
      <c r="B8" s="36" t="s">
        <v>168</v>
      </c>
      <c r="C8" s="37" t="s">
        <v>169</v>
      </c>
      <c r="D8" s="38" t="s">
        <v>170</v>
      </c>
      <c r="E8" s="39">
        <v>46331</v>
      </c>
      <c r="F8" s="1" t="s">
        <v>166</v>
      </c>
    </row>
    <row r="9" spans="2:6">
      <c r="B9" s="40" t="s">
        <v>171</v>
      </c>
      <c r="C9" s="41" t="s">
        <v>172</v>
      </c>
      <c r="D9" s="42" t="s">
        <v>173</v>
      </c>
      <c r="E9" s="43" t="s">
        <v>174</v>
      </c>
      <c r="F9" s="1" t="s">
        <v>166</v>
      </c>
    </row>
    <row r="10" spans="2:6">
      <c r="B10" s="4" t="s">
        <v>175</v>
      </c>
      <c r="C10" s="6" t="s">
        <v>176</v>
      </c>
      <c r="D10" s="5" t="s">
        <v>177</v>
      </c>
      <c r="E10" s="4" t="s">
        <v>159</v>
      </c>
      <c r="F10" s="1" t="s">
        <v>34</v>
      </c>
    </row>
    <row r="11" spans="2:6">
      <c r="B11" s="9" t="s">
        <v>178</v>
      </c>
      <c r="C11" s="13" t="s">
        <v>179</v>
      </c>
      <c r="D11" s="14" t="s">
        <v>180</v>
      </c>
      <c r="E11" s="9" t="s">
        <v>159</v>
      </c>
      <c r="F11" s="1" t="s">
        <v>34</v>
      </c>
    </row>
    <row r="12" spans="2:6">
      <c r="B12" s="4" t="s">
        <v>181</v>
      </c>
      <c r="C12" s="6" t="s">
        <v>182</v>
      </c>
      <c r="D12" s="5" t="s">
        <v>183</v>
      </c>
      <c r="E12" s="4" t="s">
        <v>159</v>
      </c>
      <c r="F12" s="1" t="s">
        <v>34</v>
      </c>
    </row>
    <row r="13" spans="2:6">
      <c r="B13" s="9" t="s">
        <v>184</v>
      </c>
      <c r="C13" s="13" t="s">
        <v>185</v>
      </c>
      <c r="D13" s="14" t="s">
        <v>186</v>
      </c>
      <c r="E13" s="9" t="s">
        <v>159</v>
      </c>
      <c r="F13" s="1" t="s">
        <v>34</v>
      </c>
    </row>
    <row r="14" spans="2:6">
      <c r="B14" s="4" t="s">
        <v>187</v>
      </c>
      <c r="C14" s="6" t="s">
        <v>188</v>
      </c>
      <c r="D14" s="5" t="s">
        <v>189</v>
      </c>
      <c r="E14" s="4" t="s">
        <v>159</v>
      </c>
      <c r="F14" s="1" t="s">
        <v>34</v>
      </c>
    </row>
    <row r="15" spans="2:6">
      <c r="B15" s="40" t="s">
        <v>190</v>
      </c>
      <c r="C15" s="41" t="s">
        <v>176</v>
      </c>
      <c r="D15" s="42" t="s">
        <v>191</v>
      </c>
      <c r="E15" s="43">
        <v>46331</v>
      </c>
      <c r="F15" s="1" t="s">
        <v>166</v>
      </c>
    </row>
    <row r="16" spans="2:6">
      <c r="B16" s="44" t="s">
        <v>192</v>
      </c>
      <c r="C16" s="45" t="s">
        <v>193</v>
      </c>
      <c r="D16" s="46" t="s">
        <v>194</v>
      </c>
      <c r="E16" s="47">
        <v>46117</v>
      </c>
      <c r="F16" s="1" t="s">
        <v>166</v>
      </c>
    </row>
    <row r="18" spans="2:3">
      <c r="B18" s="1" t="s">
        <v>195</v>
      </c>
      <c r="C18" s="1" t="s">
        <v>196</v>
      </c>
    </row>
    <row r="19" spans="2:3">
      <c r="B19" s="1" t="s">
        <v>197</v>
      </c>
      <c r="C19" s="1" t="s">
        <v>198</v>
      </c>
    </row>
    <row r="20" spans="2:3">
      <c r="B20" s="1" t="s">
        <v>199</v>
      </c>
      <c r="C20" s="1" t="s">
        <v>200</v>
      </c>
    </row>
    <row r="21" spans="2:3">
      <c r="B21" s="1" t="s">
        <v>201</v>
      </c>
      <c r="C21" s="1" t="s">
        <v>202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2026-04-27T13:13:00Z</dcterms:created>
  <dcterms:modified xsi:type="dcterms:W3CDTF">2026-06-24T00:39:04Z</dcterms:modified>
  <cp:category/>
  <cp:contentStatus/>
</cp:coreProperties>
</file>